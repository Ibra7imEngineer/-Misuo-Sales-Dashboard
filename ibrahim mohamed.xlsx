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D:\Captures\New folder\"/>
    </mc:Choice>
  </mc:AlternateContent>
  <xr:revisionPtr revIDLastSave="0" documentId="8_{C95BDB35-3931-4F62-900A-136001F8A5DC}" xr6:coauthVersionLast="47" xr6:coauthVersionMax="47" xr10:uidLastSave="{00000000-0000-0000-0000-000000000000}"/>
  <bookViews>
    <workbookView xWindow="-120" yWindow="-120" windowWidth="29040" windowHeight="15225" activeTab="3" xr2:uid="{00000000-000D-0000-FFFF-FFFF00000000}"/>
  </bookViews>
  <sheets>
    <sheet name="الارشادات" sheetId="3" r:id="rId1"/>
    <sheet name="البيانات" sheetId="1" r:id="rId2"/>
    <sheet name="pivot table" sheetId="6" r:id="rId3"/>
    <sheet name="Dashboard" sheetId="9" r:id="rId4"/>
  </sheets>
  <definedNames>
    <definedName name="_xlnm._FilterDatabase" localSheetId="1" hidden="1">البيانات!$A$1:$R$73</definedName>
    <definedName name="mo">Table1[#All]</definedName>
    <definedName name="moo">Table1[]</definedName>
    <definedName name="Slicer_Months__ميعاد_الطلب">#N/A</definedName>
    <definedName name="Slicer_اسم_المنتج">#N/A</definedName>
    <definedName name="Slicer_حاله_التسليم">#N/A</definedName>
    <definedName name="Slicer_نوع_العميل">#N/A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9" i="1" l="1"/>
  <c r="M106" i="1"/>
  <c r="M106" i="1" a="1"/>
  <c r="M105" i="1"/>
  <c r="M105" i="1" a="1"/>
  <c r="M104" i="1"/>
  <c r="M104" i="1" a="1"/>
  <c r="M103" i="1"/>
  <c r="M103" i="1" a="1"/>
  <c r="M102" i="1"/>
  <c r="M102" i="1" a="1"/>
  <c r="M101" i="1"/>
  <c r="M101" i="1" a="1"/>
  <c r="M100" i="1"/>
  <c r="M100" i="1" a="1"/>
  <c r="M99" i="1"/>
  <c r="M99" i="1" a="1"/>
  <c r="M98" i="1"/>
  <c r="M98" i="1" a="1"/>
  <c r="M97" i="1"/>
  <c r="M97" i="1" a="1"/>
  <c r="M96" i="1"/>
  <c r="M96" i="1" a="1"/>
  <c r="M95" i="1"/>
  <c r="M95" i="1" a="1"/>
  <c r="M94" i="1"/>
  <c r="M94" i="1" a="1"/>
  <c r="M93" i="1"/>
  <c r="M93" i="1" a="1"/>
  <c r="M92" i="1"/>
  <c r="M92" i="1" a="1"/>
  <c r="M91" i="1"/>
  <c r="M91" i="1" a="1"/>
  <c r="M90" i="1"/>
  <c r="M90" i="1" a="1"/>
  <c r="M89" i="1"/>
  <c r="M89" i="1" a="1"/>
  <c r="M88" i="1"/>
  <c r="M88" i="1" a="1"/>
  <c r="M87" i="1"/>
  <c r="M87" i="1" a="1"/>
  <c r="M86" i="1"/>
  <c r="M86" i="1" a="1"/>
  <c r="M85" i="1"/>
  <c r="M85" i="1" a="1"/>
  <c r="M84" i="1"/>
  <c r="M84" i="1" a="1"/>
  <c r="M83" i="1"/>
  <c r="M83" i="1" a="1"/>
  <c r="M82" i="1"/>
  <c r="M82" i="1" a="1"/>
  <c r="M81" i="1"/>
  <c r="M81" i="1" a="1"/>
  <c r="M80" i="1"/>
  <c r="M80" i="1" a="1"/>
  <c r="M79" i="1"/>
  <c r="M79" i="1" a="1"/>
  <c r="M78" i="1"/>
  <c r="M78" i="1" a="1"/>
  <c r="M77" i="1"/>
  <c r="M77" i="1" a="1"/>
  <c r="M76" i="1"/>
  <c r="M76" i="1" a="1"/>
  <c r="M75" i="1"/>
  <c r="M75" i="1" a="1"/>
  <c r="M74" i="1"/>
  <c r="M74" i="1" a="1"/>
  <c r="M73" i="1"/>
  <c r="M73" i="1" a="1"/>
  <c r="M72" i="1"/>
  <c r="M72" i="1" a="1"/>
  <c r="M71" i="1"/>
  <c r="M71" i="1" a="1"/>
  <c r="M70" i="1"/>
  <c r="M70" i="1" a="1"/>
  <c r="M69" i="1"/>
  <c r="M69" i="1" a="1"/>
  <c r="M68" i="1"/>
  <c r="M68" i="1" a="1"/>
  <c r="M67" i="1"/>
  <c r="M67" i="1" a="1"/>
  <c r="M66" i="1"/>
  <c r="M66" i="1" a="1"/>
  <c r="M65" i="1"/>
  <c r="M65" i="1" a="1"/>
  <c r="M64" i="1"/>
  <c r="M64" i="1" a="1"/>
  <c r="M63" i="1"/>
  <c r="M63" i="1" a="1"/>
  <c r="M62" i="1"/>
  <c r="M62" i="1" a="1"/>
  <c r="M61" i="1"/>
  <c r="M61" i="1" a="1"/>
  <c r="M60" i="1"/>
  <c r="M60" i="1" a="1"/>
  <c r="M59" i="1"/>
  <c r="M59" i="1" a="1"/>
  <c r="M58" i="1"/>
  <c r="M58" i="1" a="1"/>
  <c r="M57" i="1"/>
  <c r="M57" i="1" a="1"/>
  <c r="M56" i="1"/>
  <c r="M56" i="1" a="1"/>
  <c r="M55" i="1"/>
  <c r="M55" i="1" a="1"/>
  <c r="M54" i="1"/>
  <c r="M54" i="1" a="1"/>
  <c r="M53" i="1"/>
  <c r="M53" i="1" a="1"/>
  <c r="M52" i="1"/>
  <c r="M52" i="1" a="1"/>
  <c r="M51" i="1"/>
  <c r="M51" i="1" a="1"/>
  <c r="M50" i="1"/>
  <c r="M50" i="1" a="1"/>
  <c r="M49" i="1"/>
  <c r="M49" i="1" a="1"/>
  <c r="M48" i="1"/>
  <c r="M48" i="1" a="1"/>
  <c r="M47" i="1"/>
  <c r="M47" i="1" a="1"/>
  <c r="M46" i="1"/>
  <c r="M46" i="1" a="1"/>
  <c r="M45" i="1"/>
  <c r="M45" i="1" a="1"/>
  <c r="M44" i="1"/>
  <c r="M44" i="1" a="1"/>
  <c r="M43" i="1"/>
  <c r="M43" i="1" a="1"/>
  <c r="M42" i="1"/>
  <c r="M42" i="1" a="1"/>
  <c r="M41" i="1"/>
  <c r="M41" i="1" a="1"/>
  <c r="M40" i="1"/>
  <c r="M40" i="1" a="1"/>
  <c r="M39" i="1"/>
  <c r="M39" i="1" a="1"/>
  <c r="M38" i="1"/>
  <c r="M38" i="1" a="1"/>
  <c r="M37" i="1"/>
  <c r="M37" i="1" a="1"/>
  <c r="M36" i="1"/>
  <c r="M36" i="1" a="1"/>
  <c r="M35" i="1"/>
  <c r="M35" i="1" a="1"/>
  <c r="M34" i="1"/>
  <c r="M34" i="1" a="1"/>
  <c r="M33" i="1"/>
  <c r="M33" i="1" a="1"/>
  <c r="M32" i="1"/>
  <c r="M32" i="1" a="1"/>
  <c r="M31" i="1"/>
  <c r="M31" i="1" a="1"/>
  <c r="M30" i="1"/>
  <c r="M30" i="1" a="1"/>
  <c r="M29" i="1"/>
  <c r="M29" i="1" a="1"/>
  <c r="M28" i="1"/>
  <c r="M28" i="1" a="1"/>
  <c r="M27" i="1"/>
  <c r="M27" i="1" a="1"/>
  <c r="M26" i="1"/>
  <c r="M26" i="1" a="1"/>
  <c r="M25" i="1"/>
  <c r="M25" i="1" a="1"/>
  <c r="M24" i="1"/>
  <c r="M24" i="1" a="1"/>
  <c r="M23" i="1"/>
  <c r="M23" i="1" a="1"/>
  <c r="M22" i="1"/>
  <c r="M22" i="1" a="1"/>
  <c r="M21" i="1"/>
  <c r="M21" i="1" a="1"/>
  <c r="M20" i="1"/>
  <c r="M20" i="1" a="1"/>
  <c r="M19" i="1"/>
  <c r="M19" i="1" a="1"/>
  <c r="M18" i="1"/>
  <c r="M18" i="1" a="1"/>
  <c r="M17" i="1"/>
  <c r="M17" i="1" a="1"/>
  <c r="M16" i="1"/>
  <c r="M16" i="1" a="1"/>
  <c r="M15" i="1"/>
  <c r="M15" i="1" a="1"/>
  <c r="M14" i="1"/>
  <c r="M14" i="1" a="1"/>
  <c r="M13" i="1"/>
  <c r="M13" i="1" a="1"/>
  <c r="M12" i="1"/>
  <c r="M12" i="1" a="1"/>
  <c r="M11" i="1"/>
  <c r="M11" i="1" a="1"/>
  <c r="M10" i="1"/>
  <c r="M10" i="1" a="1"/>
  <c r="M9" i="1"/>
  <c r="M9" i="1" a="1"/>
  <c r="M8" i="1"/>
  <c r="M8" i="1" a="1"/>
  <c r="M7" i="1"/>
  <c r="M7" i="1" a="1"/>
  <c r="M6" i="1"/>
  <c r="M6" i="1" a="1"/>
  <c r="M5" i="1"/>
  <c r="M5" i="1" a="1"/>
  <c r="M4" i="1"/>
  <c r="M4" i="1" a="1"/>
  <c r="M3" i="1"/>
  <c r="M3" i="1" a="1"/>
  <c r="M2" i="1"/>
  <c r="M2" i="1" a="1"/>
  <c r="D6" i="6"/>
  <c r="N6" i="6"/>
  <c r="I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E844E3-4B89-44EE-A1DE-BB4F265A0641}"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 id="2" xr16:uid="{3D2A4FEE-8BCA-44A7-B075-09792699015F}"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<sst xmlns="http://schemas.openxmlformats.org/spreadsheetml/2006/main" count="1276" uniqueCount="277">
  <si>
    <t>أسم العميل</t>
  </si>
  <si>
    <t>العنوان</t>
  </si>
  <si>
    <t>المنتج</t>
  </si>
  <si>
    <t>تاريخ التسليم</t>
  </si>
  <si>
    <t>المسئول عن التسليم</t>
  </si>
  <si>
    <t xml:space="preserve">منصة البيع </t>
  </si>
  <si>
    <t>هومزمارت</t>
  </si>
  <si>
    <t xml:space="preserve">طريقه الدفع </t>
  </si>
  <si>
    <t>ميعاد التسليم</t>
  </si>
  <si>
    <t>ميعاد الطلب</t>
  </si>
  <si>
    <t xml:space="preserve">خالد عبد القوى </t>
  </si>
  <si>
    <t>العجوزه - الجيزه</t>
  </si>
  <si>
    <t xml:space="preserve">سرير منطبق الحديد ابيض والقماش ابيض </t>
  </si>
  <si>
    <t>مسبق الدفع</t>
  </si>
  <si>
    <t>محمود</t>
  </si>
  <si>
    <t>سموحه - اسكندريه</t>
  </si>
  <si>
    <t xml:space="preserve">سرير منطبق اسود والقماش اسود </t>
  </si>
  <si>
    <t>سعيد</t>
  </si>
  <si>
    <t xml:space="preserve">سيدى عبد الرحمن - الساحل الشمالى </t>
  </si>
  <si>
    <t>ساندرا</t>
  </si>
  <si>
    <t xml:space="preserve">الغردقه </t>
  </si>
  <si>
    <t xml:space="preserve">ترابيزه قهوه متحركه </t>
  </si>
  <si>
    <t xml:space="preserve">تم التسليم عن طريق شركه شحن </t>
  </si>
  <si>
    <t xml:space="preserve">زينا </t>
  </si>
  <si>
    <t xml:space="preserve">سرير نوفال متر رمادى </t>
  </si>
  <si>
    <t xml:space="preserve">شيك هومز </t>
  </si>
  <si>
    <t xml:space="preserve">كنبه سرير رمادى </t>
  </si>
  <si>
    <t xml:space="preserve">احمد </t>
  </si>
  <si>
    <t xml:space="preserve">فشل التسليم </t>
  </si>
  <si>
    <t>yilmaz</t>
  </si>
  <si>
    <t xml:space="preserve">سرير فردى ابيض </t>
  </si>
  <si>
    <t xml:space="preserve">تاكى </t>
  </si>
  <si>
    <t>العباسيه</t>
  </si>
  <si>
    <t>تاكى</t>
  </si>
  <si>
    <t xml:space="preserve">ركنه </t>
  </si>
  <si>
    <t xml:space="preserve">٢ كنبه سحاره بدون مخدع </t>
  </si>
  <si>
    <t xml:space="preserve">على رشوان </t>
  </si>
  <si>
    <t>سرير نوفال ابيض مقاس ٨٠</t>
  </si>
  <si>
    <t xml:space="preserve">سرير كينج ابيض </t>
  </si>
  <si>
    <t>شيك هومز</t>
  </si>
  <si>
    <t xml:space="preserve">سرير كينج اسود </t>
  </si>
  <si>
    <t xml:space="preserve">فيصل نعيم </t>
  </si>
  <si>
    <t xml:space="preserve">اوسكار ريتن </t>
  </si>
  <si>
    <t xml:space="preserve">٢ سرير كيفنج ١٢٠ اسود </t>
  </si>
  <si>
    <t>ellho elkafy</t>
  </si>
  <si>
    <t xml:space="preserve">مدينه نصر </t>
  </si>
  <si>
    <t xml:space="preserve">سرير كينج ابيض مقاس ٨٠ التصميم الجديد </t>
  </si>
  <si>
    <t xml:space="preserve">لينا </t>
  </si>
  <si>
    <t xml:space="preserve">المقطم </t>
  </si>
  <si>
    <t xml:space="preserve">ترابيزه قهوه علويه جديده </t>
  </si>
  <si>
    <t xml:space="preserve">٢ فوتيه فنيسيا </t>
  </si>
  <si>
    <t xml:space="preserve">احمد فخرى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</si>
  <si>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</si>
  <si>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</si>
  <si>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</si>
  <si>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</si>
  <si>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</si>
  <si>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رنا </t>
  </si>
  <si>
    <t xml:space="preserve">القطاميه </t>
  </si>
  <si>
    <t xml:space="preserve">على السيد </t>
  </si>
  <si>
    <t xml:space="preserve">الشروق القاهره </t>
  </si>
  <si>
    <t xml:space="preserve">هشام بسيونى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</si>
  <si>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</si>
  <si>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</si>
  <si>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</si>
  <si>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</si>
  <si>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</si>
  <si>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</si>
  <si>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</si>
  <si>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</si>
  <si>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</si>
  <si>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</si>
  <si>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</si>
  <si>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</si>
  <si>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ساره وجيه </t>
  </si>
  <si>
    <t xml:space="preserve">سرير كيفنج دورين مقاس ٨٠ ابيض </t>
  </si>
  <si>
    <t xml:space="preserve">سرير ٣ ادوار ابيض مقاس ٨٠ ابيض </t>
  </si>
  <si>
    <t xml:space="preserve">مها </t>
  </si>
  <si>
    <t xml:space="preserve">لافيستا العين السخنه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</si>
  <si>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</si>
  <si>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</si>
  <si>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</si>
  <si>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</si>
  <si>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</si>
  <si>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</si>
  <si>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</si>
  <si>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</si>
  <si>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كنبه سرير ٤ حركه </t>
  </si>
  <si>
    <t xml:space="preserve">حاتم العيسوي </t>
  </si>
  <si>
    <t>سرير منطبق اسود حديد وقماش</t>
  </si>
  <si>
    <t>صفاء</t>
  </si>
  <si>
    <t>المعادى</t>
  </si>
  <si>
    <t xml:space="preserve">اسراء ابراهيم </t>
  </si>
  <si>
    <t xml:space="preserve">طارق كمال </t>
  </si>
  <si>
    <t xml:space="preserve">سرير ٣ ادوار اسود مقاس ٩٠ </t>
  </si>
  <si>
    <t xml:space="preserve">مصطفي غنيم </t>
  </si>
  <si>
    <t xml:space="preserve">اسيوط </t>
  </si>
  <si>
    <t xml:space="preserve">سرير كيفنج دورين مقاس ١٢٠ رمادى </t>
  </si>
  <si>
    <t xml:space="preserve">مسبق الدفع </t>
  </si>
  <si>
    <t>حسام عبدون</t>
  </si>
  <si>
    <t xml:space="preserve">اياد </t>
  </si>
  <si>
    <t>ميار خورشد</t>
  </si>
  <si>
    <t xml:space="preserve">سرير منطبق اسود حديد ومعدن </t>
  </si>
  <si>
    <t xml:space="preserve">عبد الله سيد </t>
  </si>
  <si>
    <t xml:space="preserve">الشيخ زايد ٦ اكتوبر </t>
  </si>
  <si>
    <t xml:space="preserve">سرير اسبانى  ١٤٠ اسود وبيج </t>
  </si>
  <si>
    <t xml:space="preserve">كينج سونا </t>
  </si>
  <si>
    <t xml:space="preserve">تربيزه قهوه مرتفعه برف سحاب </t>
  </si>
  <si>
    <t xml:space="preserve">رامى </t>
  </si>
  <si>
    <t xml:space="preserve">سرير نوفال ١٠٠ رمادى </t>
  </si>
  <si>
    <t xml:space="preserve">احمد خالد </t>
  </si>
  <si>
    <t xml:space="preserve"> ٢. سرير فورجينا ابيض مقاس ١٢٠</t>
  </si>
  <si>
    <t>ساره</t>
  </si>
  <si>
    <t xml:space="preserve">   ٢. سرير اسبانى ابيض ١٢٠</t>
  </si>
  <si>
    <t>رحاب</t>
  </si>
  <si>
    <t xml:space="preserve">احمد ايمن </t>
  </si>
  <si>
    <t>العبور</t>
  </si>
  <si>
    <t xml:space="preserve">فؤاد المنسي </t>
  </si>
  <si>
    <t xml:space="preserve">سرير نوفال مقاس ٨٠ ابيض </t>
  </si>
  <si>
    <t xml:space="preserve">ديفد بهجت </t>
  </si>
  <si>
    <t>فيصل الجيزه</t>
  </si>
  <si>
    <t>تربيزه قهوه ٢ رافع</t>
  </si>
  <si>
    <t xml:space="preserve">حسن مغرب </t>
  </si>
  <si>
    <t xml:space="preserve">سرير كيفنج ١٢٠ رمادى </t>
  </si>
  <si>
    <t>صفاء الحكيم</t>
  </si>
  <si>
    <t>العين السخنه</t>
  </si>
  <si>
    <t>سرير منطببق اسود وقماش اسود</t>
  </si>
  <si>
    <t>يوسف شناوى</t>
  </si>
  <si>
    <t xml:space="preserve">الابراهيميه . الإسكندرية </t>
  </si>
  <si>
    <t xml:space="preserve">ترابيزه قهوه علويه برف سحاب </t>
  </si>
  <si>
    <t>سرير</t>
  </si>
  <si>
    <t>منطبق</t>
  </si>
  <si>
    <t>نوفال</t>
  </si>
  <si>
    <t>فردى</t>
  </si>
  <si>
    <t>كينج</t>
  </si>
  <si>
    <t>كيفنج</t>
  </si>
  <si>
    <t>اسبانى</t>
  </si>
  <si>
    <t>تربيزه</t>
  </si>
  <si>
    <t>ركنة</t>
  </si>
  <si>
    <t>ركنة بسرير</t>
  </si>
  <si>
    <t>كرسى</t>
  </si>
  <si>
    <t>فنسيا</t>
  </si>
  <si>
    <t>دورين</t>
  </si>
  <si>
    <t>ابيض</t>
  </si>
  <si>
    <t>اسود</t>
  </si>
  <si>
    <t>ارفيل</t>
  </si>
  <si>
    <t>ازرق</t>
  </si>
  <si>
    <t>ثلاثه ادوار</t>
  </si>
  <si>
    <t>رمادى</t>
  </si>
  <si>
    <t>بنفسجى</t>
  </si>
  <si>
    <t>الاسم</t>
  </si>
  <si>
    <t>المقاس</t>
  </si>
  <si>
    <t>دهبي</t>
  </si>
  <si>
    <t>فورجينا</t>
  </si>
  <si>
    <t>كورين</t>
  </si>
  <si>
    <t>اللون المعدن</t>
  </si>
  <si>
    <t>mohannad</t>
  </si>
  <si>
    <t>EL-Maadi</t>
  </si>
  <si>
    <t>Mohamed Ayman</t>
  </si>
  <si>
    <t>Madinet Badr</t>
  </si>
  <si>
    <t>2 ميكانزم</t>
  </si>
  <si>
    <t>رف سحاب</t>
  </si>
  <si>
    <t>الحالة</t>
  </si>
  <si>
    <t>فشل التسليم</t>
  </si>
  <si>
    <t>لغى</t>
  </si>
  <si>
    <t>اسامه</t>
  </si>
  <si>
    <t>تم التسليم</t>
  </si>
  <si>
    <t xml:space="preserve">تم التسليم محمود على </t>
  </si>
  <si>
    <t xml:space="preserve">المخزن ابو الغيط </t>
  </si>
  <si>
    <t>ولاء بدوى</t>
  </si>
  <si>
    <t>كنبه</t>
  </si>
  <si>
    <t>4×1</t>
  </si>
  <si>
    <t>الحج محمد السويس</t>
  </si>
  <si>
    <t xml:space="preserve">السويس </t>
  </si>
  <si>
    <t>السويس</t>
  </si>
  <si>
    <t>فانتاستك</t>
  </si>
  <si>
    <t>ملون</t>
  </si>
  <si>
    <t>شيزلونج</t>
  </si>
  <si>
    <t xml:space="preserve">نبيتى </t>
  </si>
  <si>
    <t>مخزن شيك هومز</t>
  </si>
  <si>
    <t xml:space="preserve">تم التسليم بمعرفه الحج سيد </t>
  </si>
  <si>
    <t xml:space="preserve">أكتوبر </t>
  </si>
  <si>
    <t>التجمع</t>
  </si>
  <si>
    <t>keira</t>
  </si>
  <si>
    <t>بينك</t>
  </si>
  <si>
    <t>tarek</t>
  </si>
  <si>
    <t>reem</t>
  </si>
  <si>
    <t>البطاش اسكندريه</t>
  </si>
  <si>
    <t>هشام سامى</t>
  </si>
  <si>
    <t>41 كومبوند جولدن جستس الدور 4 شقه 4</t>
  </si>
  <si>
    <t xml:space="preserve">منزلى </t>
  </si>
  <si>
    <t>الوان</t>
  </si>
  <si>
    <t>المعرض مدينه نصر</t>
  </si>
  <si>
    <t>فاطمه محمد</t>
  </si>
  <si>
    <t>بولا هومزمارت</t>
  </si>
  <si>
    <t xml:space="preserve">محمد شكرى </t>
  </si>
  <si>
    <t>ارينا</t>
  </si>
  <si>
    <t>مسبق</t>
  </si>
  <si>
    <t>منزلى</t>
  </si>
  <si>
    <t>حماده</t>
  </si>
  <si>
    <t>صفاء عبد الباقي</t>
  </si>
  <si>
    <t>المخزن</t>
  </si>
  <si>
    <t xml:space="preserve">مرفوض </t>
  </si>
  <si>
    <t xml:space="preserve">رندا العامرى </t>
  </si>
  <si>
    <t xml:space="preserve">كيمت </t>
  </si>
  <si>
    <t>محمد حمدى</t>
  </si>
  <si>
    <t>فيسبوك</t>
  </si>
  <si>
    <t xml:space="preserve">بافلى هانى </t>
  </si>
  <si>
    <t xml:space="preserve">شبرا </t>
  </si>
  <si>
    <t xml:space="preserve">تم التسليم م محمد </t>
  </si>
  <si>
    <t>رنا ميلاد</t>
  </si>
  <si>
    <t xml:space="preserve">جليم الإسكندرية </t>
  </si>
  <si>
    <t>مكتبه</t>
  </si>
  <si>
    <t>محمد ناجى</t>
  </si>
  <si>
    <t>ميكانزم</t>
  </si>
  <si>
    <t>احمد عبد الستار</t>
  </si>
  <si>
    <t>المندره اسكندريه</t>
  </si>
  <si>
    <t>هناء اسامه</t>
  </si>
  <si>
    <t xml:space="preserve">محمد عادل </t>
  </si>
  <si>
    <t>مريم عنان</t>
  </si>
  <si>
    <t xml:space="preserve">هبه عطيه </t>
  </si>
  <si>
    <t>حمدى ذكرى</t>
  </si>
  <si>
    <t xml:space="preserve">معتمدا علي الهدف الأساسي المتمثل في " تحديد المنتجات الأعلى والأقل مبيعًا " </t>
  </si>
  <si>
    <t>إجمالي المبيعات (Total Sales)</t>
  </si>
  <si>
    <t xml:space="preserve">عدد الطلبات (Total Orders) </t>
  </si>
  <si>
    <t>متوسط سعر البيع (Average Selling Price)</t>
  </si>
  <si>
    <t>عدد المنتجات المباعة حسب المنصة (Sales by Platform)</t>
  </si>
  <si>
    <t>نسبة الطلبات المسلمة في الموعد (On-time Delivery Rate).</t>
  </si>
  <si>
    <t>مستندا الي  KPIS الأساسية :</t>
  </si>
  <si>
    <t xml:space="preserve"> قم بتصميم Dashboard</t>
  </si>
  <si>
    <t xml:space="preserve">المنتج الأكثر مبيعا   Best  Seller </t>
  </si>
  <si>
    <t xml:space="preserve">اللون الأكثر مبيعا Best Color sold </t>
  </si>
  <si>
    <t>المدينة الأكثر مبيعا   (Orders by Area).</t>
  </si>
  <si>
    <t xml:space="preserve">عدد الأفراد والشركات التي تتعامل معها شركة مسيو </t>
  </si>
  <si>
    <t>نسبة الطلبات  الملغاة التي لم تتسلم (Delivery Status Breakdown)</t>
  </si>
  <si>
    <t>Row Labels</t>
  </si>
  <si>
    <t>Grand Total</t>
  </si>
  <si>
    <t>نوع العميل</t>
  </si>
  <si>
    <t>فرد</t>
  </si>
  <si>
    <t>شركه</t>
  </si>
  <si>
    <t xml:space="preserve">   ٦اكتوبر الجيزه</t>
  </si>
  <si>
    <t xml:space="preserve">دون تاون كايرو التجمع </t>
  </si>
  <si>
    <t>مكتبة</t>
  </si>
  <si>
    <t>100/140</t>
  </si>
  <si>
    <t>اسم المنتج</t>
  </si>
  <si>
    <t>نوع المنتج</t>
  </si>
  <si>
    <t>السعر</t>
  </si>
  <si>
    <t>Count of أسم العميل</t>
  </si>
  <si>
    <t>Sum of السعر</t>
  </si>
  <si>
    <t xml:space="preserve">سرير كيفينج مقاس ٩٠ لون ازرق </t>
  </si>
  <si>
    <t xml:space="preserve"> متأخر</t>
  </si>
  <si>
    <t>في الموعد</t>
  </si>
  <si>
    <t>Average of السعر</t>
  </si>
  <si>
    <t>Count of السعر</t>
  </si>
  <si>
    <t>Count of ميعاد الطلب</t>
  </si>
  <si>
    <t>Total Sales</t>
  </si>
  <si>
    <t>Total Orders</t>
  </si>
  <si>
    <t>Average Selling Price</t>
  </si>
  <si>
    <t>Sales by Platform</t>
  </si>
  <si>
    <t xml:space="preserve"> Best  Seller</t>
  </si>
  <si>
    <t>Best Color sold</t>
  </si>
  <si>
    <t>On-time Delivery Rate</t>
  </si>
  <si>
    <t>Delivery Status Breakdown</t>
  </si>
  <si>
    <t>Orders by Area</t>
  </si>
  <si>
    <t>Customer &amp; Vendor Count</t>
  </si>
  <si>
    <t>حاله التسليم</t>
  </si>
  <si>
    <t>كاش</t>
  </si>
  <si>
    <t>لفي الطلب</t>
  </si>
  <si>
    <t>On-time D &amp; R</t>
  </si>
  <si>
    <t>Delivery S &amp; B</t>
  </si>
  <si>
    <t>Jul</t>
  </si>
  <si>
    <t>Aug</t>
  </si>
  <si>
    <t>Sep</t>
  </si>
  <si>
    <t>Oct</t>
  </si>
  <si>
    <t>Nov</t>
  </si>
  <si>
    <t>Dec</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</si>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</sst>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dd/mm/yyyy;@"/>
    <numFmt numFmtId="165" formatCode="_(* #,##0_);_(* \(#,##0\);_(* &quot;-&quot;??_);_(@_)"/>
    <numFmt numFmtId="166" formatCode="0.0%"/>
  </numFmts>
  <fonts count="15" x14ac:knownFonts="1">
    <font>
      <sz val="11"/>
      <color theme="1"/>
      <name val="Calibri"/>
      <family val="2"/>
      <scheme val="minor"/>
    </font>
    <font>
      <b/>
      <sz val="12"/>
      <color theme="1"/>
      <name val="Calibri"/>
      <family val="2"/>
      <scheme val="minor"/>
    </font>
    <font>
      <b/>
      <sz val="11"/>
      <color theme="1"/>
      <name val="Calibri"/>
      <family val="2"/>
      <scheme val="minor"/>
    </font>
    <font>
      <b/>
      <sz val="14"/>
      <color theme="4" tint="-0.249977111117893"/>
      <name val="Times New Roman"/>
      <family val="1"/>
    </font>
    <font>
      <b/>
      <sz val="20"/>
      <color rgb="FFFF0000"/>
      <name val="Times New Roman"/>
      <family val="1"/>
    </font>
    <font>
      <b/>
      <sz val="14"/>
      <color theme="1"/>
      <name val="Calibri"/>
      <family val="2"/>
      <scheme val="minor"/>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sz val="11"/>
      <color theme="1"/>
      <name val="Calibri"/>
      <family val="2"/>
      <scheme val="minor"/>
    </font>
    <font>
      <b/>
      <sz val="14"/>
      <color theme="0"/>
      <name val="Calibri"/>
      <family val="2"/>
      <scheme val="minor"/>
    </font>
    <font>
      <b/>
      <sz val="14"/>
      <color theme="1"/>
      <name val="Arial"/>
      <family val="2"/>
    </font>
    <font>
      <sz val="11"/>
      <color theme="0"/>
      <name val="Calibri"/>
      <family val="2"/>
      <scheme val="minor"/>
    </font>
    <font>
      <b/>
      <sz val="16"/>
      <color rgb="FFFF0000"/>
      <name val="Abadi"/>
      <family val="2"/>
    </font>
  </fonts>
  <fills count="8">
    <fill>
      <patternFill patternType="none"/>
    </fill>
    <fill>
      <patternFill patternType="gray125"/>
    </fill>
    <fill>
      <patternFill patternType="solid">
        <fgColor theme="8" tint="0.59999389629810485"/>
        <bgColor indexed="65"/>
      </patternFill>
    </fill>
    <fill>
      <patternFill patternType="solid">
        <fgColor theme="4" tint="0.59999389629810485"/>
        <bgColor indexed="64"/>
      </patternFill>
    </fill>
    <fill>
      <patternFill patternType="solid">
        <fgColor theme="8" tint="-0.249977111117893"/>
        <bgColor indexed="64"/>
      </patternFill>
    </fill>
    <fill>
      <patternFill patternType="solid">
        <fgColor theme="0"/>
        <bgColor indexed="64"/>
      </patternFill>
    </fill>
    <fill>
      <patternFill patternType="solid">
        <fgColor theme="8" tint="-0.499984740745262"/>
        <bgColor indexed="64"/>
      </patternFill>
    </fill>
    <fill>
      <patternFill patternType="solid">
        <fgColor rgb="FF18254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0" fontId="10" fillId="2" borderId="0" applyNumberFormat="0" applyBorder="0" applyAlignment="0" applyProtection="0"/>
    <xf numFmtId="43" fontId="10" fillId="0" borderId="0" applyFont="0" applyFill="0" applyBorder="0" applyAlignment="0" applyProtection="0"/>
  </cellStyleXfs>
  <cellXfs count="58">
    <xf numFmtId="0" fontId="0" fillId="0" borderId="0" xfId="0"/>
    <xf numFmtId="0" fontId="0" fillId="0" borderId="0" xfId="0" applyAlignment="1">
      <alignment horizontal="right" vertical="center"/>
    </xf>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7" fillId="0" borderId="0" xfId="0" applyFont="1" applyAlignment="1">
      <alignment horizontal="right" indent="2"/>
    </xf>
    <xf numFmtId="0" fontId="5" fillId="3" borderId="3" xfId="0" applyFont="1" applyFill="1" applyBorder="1" applyAlignment="1">
      <alignment horizontal="center" vertical="center"/>
    </xf>
    <xf numFmtId="0" fontId="5" fillId="3" borderId="1" xfId="0" applyFont="1" applyFill="1" applyBorder="1" applyAlignment="1">
      <alignment horizontal="center" vertical="center"/>
    </xf>
    <xf numFmtId="0" fontId="12" fillId="3" borderId="1" xfId="0" applyFont="1" applyFill="1" applyBorder="1" applyAlignment="1">
      <alignment horizontal="center"/>
    </xf>
    <xf numFmtId="0" fontId="5" fillId="3" borderId="2" xfId="0" applyFont="1" applyFill="1" applyBorder="1" applyAlignment="1">
      <alignment horizontal="center" vertical="center"/>
    </xf>
    <xf numFmtId="0" fontId="0" fillId="3" borderId="0" xfId="0" applyFill="1" applyAlignment="1">
      <alignment horizontal="center" vertical="center"/>
    </xf>
    <xf numFmtId="0" fontId="0" fillId="3" borderId="0" xfId="0" applyFill="1" applyAlignment="1">
      <alignment horizontal="center"/>
    </xf>
    <xf numFmtId="1" fontId="5" fillId="3" borderId="1" xfId="0" applyNumberFormat="1" applyFont="1" applyFill="1" applyBorder="1" applyAlignment="1">
      <alignment horizontal="center" vertical="center"/>
    </xf>
    <xf numFmtId="1" fontId="5" fillId="3" borderId="3" xfId="0" applyNumberFormat="1" applyFont="1" applyFill="1" applyBorder="1" applyAlignment="1">
      <alignment horizontal="center" vertical="center"/>
    </xf>
    <xf numFmtId="164" fontId="5" fillId="3" borderId="3" xfId="0" applyNumberFormat="1" applyFont="1" applyFill="1" applyBorder="1" applyAlignment="1">
      <alignment horizontal="center" vertical="center"/>
    </xf>
    <xf numFmtId="164" fontId="5" fillId="3" borderId="1" xfId="0" applyNumberFormat="1" applyFont="1" applyFill="1" applyBorder="1" applyAlignment="1">
      <alignment horizontal="center" vertical="center"/>
    </xf>
    <xf numFmtId="164" fontId="0" fillId="0" borderId="0" xfId="0" applyNumberFormat="1" applyAlignment="1">
      <alignment horizontal="right" vertical="center"/>
    </xf>
    <xf numFmtId="164" fontId="0" fillId="3" borderId="0" xfId="0" applyNumberFormat="1" applyFill="1" applyAlignment="1">
      <alignment horizontal="center" vertical="center"/>
    </xf>
    <xf numFmtId="0" fontId="0" fillId="0" borderId="0" xfId="0" pivotButton="1"/>
    <xf numFmtId="0" fontId="0" fillId="0" borderId="0" xfId="0" applyAlignment="1">
      <alignment horizontal="left"/>
    </xf>
    <xf numFmtId="1" fontId="5" fillId="3" borderId="0" xfId="0" applyNumberFormat="1" applyFont="1" applyFill="1" applyAlignment="1">
      <alignment horizontal="center" vertical="center"/>
    </xf>
    <xf numFmtId="1" fontId="5" fillId="3" borderId="1" xfId="0" applyNumberFormat="1" applyFont="1" applyFill="1" applyBorder="1" applyAlignment="1">
      <alignment horizontal="center"/>
    </xf>
    <xf numFmtId="1" fontId="0" fillId="0" borderId="0" xfId="0" applyNumberFormat="1" applyAlignment="1">
      <alignment horizontal="right" vertical="center"/>
    </xf>
    <xf numFmtId="1" fontId="0" fillId="3" borderId="0" xfId="0" applyNumberFormat="1" applyFill="1" applyAlignment="1">
      <alignment horizontal="center" vertical="center"/>
    </xf>
    <xf numFmtId="1" fontId="0" fillId="0" borderId="0" xfId="0" applyNumberFormat="1"/>
    <xf numFmtId="0" fontId="10" fillId="2" borderId="0" xfId="1"/>
    <xf numFmtId="1" fontId="10" fillId="2" borderId="0" xfId="1" applyNumberFormat="1"/>
    <xf numFmtId="10" fontId="0" fillId="0" borderId="0" xfId="0" applyNumberFormat="1"/>
    <xf numFmtId="0" fontId="0" fillId="4" borderId="0" xfId="0" applyFill="1"/>
    <xf numFmtId="0" fontId="13" fillId="4" borderId="0" xfId="0" applyFont="1" applyFill="1"/>
    <xf numFmtId="0" fontId="13" fillId="5" borderId="0" xfId="0" applyFont="1" applyFill="1"/>
    <xf numFmtId="0" fontId="0" fillId="5" borderId="0" xfId="0" applyFill="1"/>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1" fontId="5" fillId="4" borderId="3" xfId="0" applyNumberFormat="1" applyFont="1" applyFill="1" applyBorder="1" applyAlignment="1">
      <alignment horizontal="center" vertical="center"/>
    </xf>
    <xf numFmtId="164" fontId="5" fillId="4" borderId="3" xfId="0" applyNumberFormat="1" applyFont="1" applyFill="1" applyBorder="1" applyAlignment="1">
      <alignment horizontal="center" vertical="center"/>
    </xf>
    <xf numFmtId="165" fontId="10" fillId="2" borderId="0" xfId="2" applyNumberFormat="1" applyFill="1"/>
    <xf numFmtId="165" fontId="0" fillId="0" borderId="0" xfId="0" pivotButton="1" applyNumberFormat="1"/>
    <xf numFmtId="165" fontId="0" fillId="0" borderId="0" xfId="0" applyNumberFormat="1"/>
    <xf numFmtId="165" fontId="0" fillId="0" borderId="0" xfId="0" applyNumberFormat="1" applyAlignment="1">
      <alignment horizontal="left"/>
    </xf>
    <xf numFmtId="166" fontId="0" fillId="0" borderId="0" xfId="0" applyNumberFormat="1"/>
    <xf numFmtId="0" fontId="0" fillId="7" borderId="0" xfId="0" applyFill="1"/>
    <xf numFmtId="0" fontId="0" fillId="0" borderId="0" xfId="0" applyAlignment="1">
      <alignment horizontal="left" indent="1"/>
    </xf>
    <xf numFmtId="0" fontId="0" fillId="2" borderId="0" xfId="0" applyFill="1" applyAlignment="1">
      <alignment horizontal="left"/>
    </xf>
    <xf numFmtId="0" fontId="0" fillId="2" borderId="0" xfId="0" applyFill="1"/>
    <xf numFmtId="165" fontId="0" fillId="2" borderId="0" xfId="0" applyNumberFormat="1" applyFill="1"/>
    <xf numFmtId="10" fontId="0" fillId="2" borderId="0" xfId="0" applyNumberFormat="1" applyFill="1"/>
    <xf numFmtId="165" fontId="0" fillId="2" borderId="0" xfId="0" applyNumberFormat="1" applyFill="1" applyAlignment="1">
      <alignment horizontal="left"/>
    </xf>
    <xf numFmtId="166" fontId="0" fillId="2" borderId="0" xfId="0" applyNumberFormat="1" applyFill="1"/>
    <xf numFmtId="0" fontId="11" fillId="4" borderId="0" xfId="0" applyFont="1" applyFill="1" applyAlignment="1">
      <alignment horizontal="center" vertical="center"/>
    </xf>
    <xf numFmtId="0" fontId="13" fillId="6" borderId="0" xfId="0" applyFont="1" applyFill="1" applyAlignment="1">
      <alignment horizontal="center"/>
    </xf>
    <xf numFmtId="0" fontId="0" fillId="4" borderId="0" xfId="0" applyFill="1" applyAlignment="1">
      <alignment horizontal="center"/>
    </xf>
  </cellXfs>
  <cellStyles count="3">
    <cellStyle name="40% - Accent5" xfId="1" builtinId="47"/>
    <cellStyle name="Comma" xfId="2" builtinId="3"/>
    <cellStyle name="Normal" xfId="0" builtinId="0"/>
  </cellStyles>
  <dxfs count="53">
    <dxf>
      <numFmt numFmtId="166" formatCode="0.0%"/>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59999389629810485"/>
        </patternFill>
      </fill>
    </dxf>
    <dxf>
      <numFmt numFmtId="165" formatCode="_(* #,##0_);_(* \(#,##0\);_(* &quot;-&quot;??_);_(@_)"/>
    </dxf>
    <dxf>
      <font>
        <b val="0"/>
        <i val="0"/>
        <strike val="0"/>
        <condense val="0"/>
        <extend val="0"/>
        <outline val="0"/>
        <shadow val="0"/>
        <u val="none"/>
        <vertAlign val="baseline"/>
        <sz val="11"/>
        <color theme="1"/>
        <name val="Calibri"/>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59999389629810485"/>
        </patternFill>
      </fill>
    </dxf>
    <dxf>
      <font>
        <b/>
        <i val="0"/>
        <strike val="0"/>
        <condense val="0"/>
        <extend val="0"/>
        <outline val="0"/>
        <shadow val="0"/>
        <u val="none"/>
        <vertAlign val="baseline"/>
        <sz val="14"/>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numFmt numFmtId="164" formatCode="dd/mm/yyyy;@"/>
      <fill>
        <patternFill patternType="solid">
          <fgColor indexed="64"/>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numFmt numFmtId="164" formatCode="dd/mm/yyyy;@"/>
      <fill>
        <patternFill patternType="solid">
          <fgColor indexed="64"/>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numFmt numFmtId="164" formatCode="dd/mm/yyyy;@"/>
      <fill>
        <patternFill patternType="solid">
          <fgColor indexed="64"/>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numFmt numFmtId="0" formatCode="General"/>
      <fill>
        <patternFill patternType="solid">
          <fgColor indexed="64"/>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4"/>
        <color theme="1"/>
        <name val="Calibri"/>
        <family val="2"/>
        <scheme val="minor"/>
      </font>
      <numFmt numFmtId="1" formatCode="0"/>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4"/>
        <color theme="1"/>
        <name val="Calibri"/>
        <family val="2"/>
        <scheme val="minor"/>
      </font>
      <numFmt numFmtId="1" formatCode="0"/>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4"/>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4"/>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color theme="1"/>
        <family val="2"/>
      </font>
      <fill>
        <patternFill patternType="solid">
          <fgColor indexed="64"/>
          <bgColor theme="8" tint="0.59999389629810485"/>
        </patternFill>
      </fill>
    </dxf>
    <dxf>
      <border outline="0">
        <left style="thin">
          <color indexed="64"/>
        </left>
        <top style="thin">
          <color indexed="64"/>
        </top>
      </border>
    </dxf>
    <dxf>
      <font>
        <b/>
        <i val="0"/>
        <strike val="0"/>
        <condense val="0"/>
        <extend val="0"/>
        <outline val="0"/>
        <shadow val="0"/>
        <u val="none"/>
        <vertAlign val="baseline"/>
        <sz val="14"/>
        <color theme="1"/>
        <name val="Calibri"/>
        <family val="2"/>
        <scheme val="minor"/>
      </font>
      <fill>
        <patternFill patternType="solid">
          <fgColor indexed="64"/>
          <bgColor theme="8" tint="0.59999389629810485"/>
        </patternFill>
      </fill>
      <alignment horizontal="center" vertical="center" textRotation="0" wrapText="0" indent="0" justifyLastLine="0" shrinkToFit="0" readingOrder="0"/>
    </dxf>
    <dxf>
      <border outline="0">
        <bottom style="thin">
          <color indexed="64"/>
        </bottom>
      </border>
    </dxf>
    <dxf>
      <fill>
        <patternFill patternType="solid">
          <fgColor indexed="64"/>
          <bgColor theme="8"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z val="16"/>
        <color rgb="FFC7A587"/>
      </font>
      <fill>
        <patternFill>
          <bgColor theme="8" tint="-0.499984740745262"/>
        </patternFill>
      </fill>
      <border>
        <left style="medium">
          <color theme="8" tint="0.39994506668294322"/>
        </left>
        <right style="medium">
          <color theme="8" tint="0.39994506668294322"/>
        </right>
        <top style="medium">
          <color theme="8" tint="0.39994506668294322"/>
        </top>
        <bottom style="medium">
          <color theme="8" tint="0.39994506668294322"/>
        </bottom>
      </border>
    </dxf>
    <dxf>
      <font>
        <sz val="18"/>
        <color rgb="FFC7A587"/>
      </font>
      <fill>
        <patternFill>
          <fgColor theme="8" tint="-0.499984740745262"/>
          <bgColor theme="8" tint="-0.499984740745262"/>
        </patternFill>
      </fill>
      <border>
        <left style="thick">
          <color theme="8" tint="0.59996337778862885"/>
        </left>
        <right style="thick">
          <color theme="8" tint="0.59996337778862885"/>
        </right>
        <top style="thick">
          <color theme="8" tint="0.59996337778862885"/>
        </top>
        <bottom style="thick">
          <color theme="8" tint="0.59996337778862885"/>
        </bottom>
      </border>
    </dxf>
    <dxf>
      <font>
        <sz val="14"/>
        <color rgb="FFC7A587"/>
      </font>
      <fill>
        <patternFill>
          <bgColor theme="8" tint="-0.499984740745262"/>
        </patternFill>
      </fill>
      <border diagonalUp="1">
        <left style="thin">
          <color auto="1"/>
        </left>
        <right style="thin">
          <color auto="1"/>
        </right>
        <top style="thin">
          <color auto="1"/>
        </top>
        <bottom style="thin">
          <color auto="1"/>
        </bottom>
        <diagonal style="thin">
          <color theme="0"/>
        </diagonal>
      </border>
    </dxf>
    <dxf>
      <font>
        <sz val="14"/>
        <color rgb="FFC7A587"/>
      </font>
      <fill>
        <patternFill>
          <bgColor theme="8" tint="-0.499984740745262"/>
        </patternFill>
      </fill>
      <border diagonalDown="1">
        <left style="thin">
          <color auto="1"/>
        </left>
        <right style="thin">
          <color auto="1"/>
        </right>
        <top style="thin">
          <color auto="1"/>
        </top>
        <bottom style="thin">
          <color auto="1"/>
        </bottom>
        <diagonal style="thin">
          <color auto="1"/>
        </diagonal>
      </border>
    </dxf>
    <dxf>
      <font>
        <color rgb="FFC7A587"/>
      </font>
      <fill>
        <patternFill>
          <fgColor theme="8" tint="-0.499984740745262"/>
          <bgColor theme="8" tint="-0.499984740745262"/>
        </patternFill>
      </fill>
      <border>
        <left style="thin">
          <color auto="1"/>
        </left>
        <right style="thin">
          <color auto="1"/>
        </right>
        <top style="thin">
          <color auto="1"/>
        </top>
        <bottom style="thin">
          <color auto="1"/>
        </bottom>
      </border>
    </dxf>
    <dxf>
      <font>
        <sz val="14"/>
        <color rgb="FFC7A587"/>
      </font>
      <fill>
        <patternFill>
          <fgColor theme="8" tint="-0.499984740745262"/>
          <bgColor theme="8" tint="-0.499984740745262"/>
        </patternFill>
      </fill>
      <border diagonalDown="1">
        <left style="thin">
          <color auto="1"/>
        </left>
        <right style="thin">
          <color auto="1"/>
        </right>
        <top style="thin">
          <color auto="1"/>
        </top>
        <bottom style="thin">
          <color auto="1"/>
        </bottom>
        <diagonal style="thin">
          <color auto="1"/>
        </diagonal>
      </border>
    </dxf>
    <dxf>
      <font>
        <b/>
        <i val="0"/>
        <sz val="16"/>
        <color rgb="FFB98E67"/>
      </font>
      <fill>
        <patternFill>
          <bgColor rgb="FF182540"/>
        </patternFill>
      </fill>
    </dxf>
    <dxf>
      <font>
        <b/>
        <i val="0"/>
        <sz val="16"/>
        <color rgb="FFB98E67"/>
      </font>
      <fill>
        <patternFill>
          <bgColor rgb="FF182540"/>
        </patternFill>
      </fill>
      <border>
        <left style="medium">
          <color rgb="FFC7A587"/>
        </left>
        <right style="medium">
          <color rgb="FFC7A587"/>
        </right>
        <top style="medium">
          <color rgb="FFC7A587"/>
        </top>
        <bottom style="medium">
          <color rgb="FFC7A587"/>
        </bottom>
      </border>
    </dxf>
    <dxf>
      <font>
        <b/>
        <i val="0"/>
        <sz val="16"/>
        <color rgb="FFB98E67"/>
      </font>
      <fill>
        <patternFill>
          <bgColor rgb="FF182540"/>
        </patternFill>
      </fill>
      <border>
        <left style="medium">
          <color rgb="FFA60311"/>
        </left>
        <right style="medium">
          <color rgb="FFA60311"/>
        </right>
        <top style="medium">
          <color rgb="FFA60311"/>
        </top>
        <bottom style="medium">
          <color rgb="FFA60311"/>
        </bottom>
      </border>
    </dxf>
  </dxfs>
  <tableStyles count="10" defaultTableStyle="TableStyleMedium2" defaultPivotStyle="PivotStyleLight16">
    <tableStyle name="Invisible" pivot="0" table="0" count="0" xr9:uid="{AA73528B-8D85-432A-9172-AA70B5E8C669}"/>
    <tableStyle name="Slicer Style 1" pivot="0" table="0" count="1" xr9:uid="{988003B7-850C-4068-8B7E-32F16D1B3F14}">
      <tableStyleElement type="wholeTable" dxfId="52"/>
    </tableStyle>
    <tableStyle name="Slicer Style 10" pivot="0" table="0" count="1" xr9:uid="{ED343162-6946-4F41-B9DF-AE4E8F15B5B5}">
      <tableStyleElement type="wholeTable" dxfId="51"/>
    </tableStyle>
    <tableStyle name="Slicer Style 11" pivot="0" table="0" count="1" xr9:uid="{A5281F27-ECC4-4DB9-98E9-1AF92A2161BE}">
      <tableStyleElement type="wholeTable" dxfId="50"/>
    </tableStyle>
    <tableStyle name="Slicer Style 2" pivot="0" table="0" count="1" xr9:uid="{7F96779E-82FF-450C-BA51-75FADBE74878}">
      <tableStyleElement type="wholeTable" dxfId="49"/>
    </tableStyle>
    <tableStyle name="Slicer Style 3" pivot="0" table="0" count="1" xr9:uid="{FA20E2E2-67DE-4827-B87A-1562DA725D56}">
      <tableStyleElement type="wholeTable" dxfId="48"/>
    </tableStyle>
    <tableStyle name="Slicer Style 4" pivot="0" table="0" count="1" xr9:uid="{F50D32FF-F13E-4BB1-9638-59023622EBF1}">
      <tableStyleElement type="wholeTable" dxfId="47"/>
    </tableStyle>
    <tableStyle name="Slicer Style 5" pivot="0" table="0" count="1" xr9:uid="{D7E32BF1-D54E-46DC-9E81-7C2A81B76500}">
      <tableStyleElement type="wholeTable" dxfId="46"/>
    </tableStyle>
    <tableStyle name="Slicer Style 6" pivot="0" table="0" count="1" xr9:uid="{EF59AE47-C66F-4BB4-804D-36936BD49A07}">
      <tableStyleElement type="wholeTable" dxfId="45"/>
    </tableStyle>
    <tableStyle name="Slicer Style 7" pivot="0" table="0" count="1" xr9:uid="{E0D79D9C-6DC4-4EF2-8E6D-CBDFA1230EDD}">
      <tableStyleElement type="wholeTable" dxfId="44"/>
    </tableStyle>
  </tableStyles>
  <colors>
    <mruColors>
      <color rgb="FFC7A587"/>
      <color rgb="FF172940"/>
      <color rgb="FF182540"/>
      <color rgb="FFD9C2AD"/>
      <color rgb="FFB98E67"/>
      <color rgb="FFA60311"/>
      <color rgb="FF011140"/>
    </mruColors>
  </colors>
  <extLst>
    <ext xmlns:x14="http://schemas.microsoft.com/office/spreadsheetml/2009/9/main" uri="{EB79DEF2-80B8-43e5-95BD-54CBDDF9020C}">
      <x14:slicerStyles defaultSlicerStyle="SlicerStyleLight1">
        <x14:slicerStyle name="Slicer Style 1"/>
        <x14:slicerStyle name="Slicer Style 10"/>
        <x14:slicerStyle name="Slicer Style 11"/>
        <x14:slicerStyle name="Slicer Style 2"/>
        <x14:slicerStyle name="Slicer Style 3"/>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mohamed.xlsx]pivot table!PivotTable19</c:name>
    <c:fmtId val="2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0"/>
            <a:lstStyle/>
            <a:p>
              <a:pPr algn="ctr">
                <a:defRPr sz="1600" b="1" i="0" u="none" strike="noStrike" kern="1200" baseline="0">
                  <a:solidFill>
                    <a:srgbClr val="C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rgbClr val="D9C2AD">
              <a:alpha val="85000"/>
            </a:srgbClr>
          </a:solidFill>
          <a:ln w="9525" cap="flat" cmpd="sng" algn="ctr">
            <a:solidFill>
              <a:schemeClr val="lt1">
                <a:alpha val="50000"/>
              </a:schemeClr>
            </a:solidFill>
            <a:round/>
          </a:ln>
          <a:effectLst/>
        </c:spPr>
      </c:pivotFmt>
      <c:pivotFmt>
        <c:idx val="26"/>
        <c:spPr>
          <a:solidFill>
            <a:srgbClr val="D9C2AD">
              <a:alpha val="85000"/>
            </a:srgbClr>
          </a:solidFill>
          <a:ln w="9525" cap="flat" cmpd="sng" algn="ctr">
            <a:solidFill>
              <a:schemeClr val="lt1">
                <a:alpha val="50000"/>
              </a:schemeClr>
            </a:solidFill>
            <a:round/>
          </a:ln>
          <a:effectLst/>
        </c:spPr>
      </c:pivotFmt>
      <c:pivotFmt>
        <c:idx val="27"/>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1"/>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2"/>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4"/>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5"/>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6"/>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7"/>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8"/>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0"/>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1"/>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2"/>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3"/>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4"/>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no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5"/>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6"/>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no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7"/>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8"/>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9"/>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0"/>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1"/>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2"/>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3"/>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4"/>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5"/>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6"/>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7"/>
        <c:dLbl>
          <c:idx val="0"/>
          <c:spPr>
            <a:noFill/>
            <a:ln>
              <a:noFill/>
            </a:ln>
            <a:effectLst/>
          </c:spPr>
          <c:txPr>
            <a:bodyPr rot="0" spcFirstLastPara="1" vertOverflow="ellipsis" vert="horz" wrap="square" lIns="38100" tIns="19050" rIns="38100" bIns="19050" anchor="ctr" anchorCtr="0">
              <a:no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8"/>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9"/>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0"/>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1"/>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2"/>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3"/>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4"/>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5"/>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6"/>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7"/>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8"/>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no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9"/>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0"/>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1"/>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2"/>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3"/>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4"/>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5"/>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6"/>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7"/>
        <c:spPr>
          <a:solidFill>
            <a:srgbClr val="D9C2AD">
              <a:alpha val="85000"/>
            </a:srgb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8"/>
        <c:spPr>
          <a:solidFill>
            <a:srgbClr val="C7A587">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C7A587">
              <a:alpha val="85000"/>
            </a:srgbClr>
          </a:solidFill>
          <a:ln w="9525" cap="flat" cmpd="sng" algn="ctr">
            <a:solidFill>
              <a:schemeClr val="lt1">
                <a:alpha val="50000"/>
              </a:schemeClr>
            </a:solidFill>
            <a:round/>
          </a:ln>
          <a:effectLst/>
        </c:spPr>
        <c:dLbl>
          <c:idx val="0"/>
          <c:layout>
            <c:manualLayout>
              <c:x val="8.7286983719348701E-3"/>
              <c:y val="-0.37443909250993779"/>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7766613511639608E-2"/>
                  <c:h val="0.11265352668583803"/>
                </c:manualLayout>
              </c15:layout>
            </c:ext>
          </c:extLst>
        </c:dLbl>
      </c:pivotFmt>
      <c:pivotFmt>
        <c:idx val="90"/>
        <c:spPr>
          <a:solidFill>
            <a:srgbClr val="C7A587">
              <a:alpha val="85000"/>
            </a:srgbClr>
          </a:solidFill>
          <a:ln w="9525" cap="flat" cmpd="sng" algn="ctr">
            <a:solidFill>
              <a:schemeClr val="lt1">
                <a:alpha val="50000"/>
              </a:schemeClr>
            </a:solidFill>
            <a:round/>
          </a:ln>
          <a:effectLst/>
        </c:spPr>
        <c:dLbl>
          <c:idx val="0"/>
          <c:layout>
            <c:manualLayout>
              <c:x val="3.8334403376325218E-3"/>
              <c:y val="-0.3722755566253734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rgbClr val="C7A587">
              <a:alpha val="85000"/>
            </a:srgbClr>
          </a:solidFill>
          <a:ln w="9525" cap="flat" cmpd="sng" algn="ctr">
            <a:solidFill>
              <a:schemeClr val="lt1">
                <a:alpha val="50000"/>
              </a:schemeClr>
            </a:solidFill>
            <a:round/>
          </a:ln>
          <a:effectLst/>
        </c:spPr>
        <c:dLbl>
          <c:idx val="0"/>
          <c:layout>
            <c:manualLayout>
              <c:x val="3.8578113998023098E-3"/>
              <c:y val="-0.1465461875194547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solidFill>
            <a:srgbClr val="C7A587">
              <a:alpha val="85000"/>
            </a:srgbClr>
          </a:solidFill>
          <a:ln w="9525" cap="flat" cmpd="sng" algn="ctr">
            <a:solidFill>
              <a:schemeClr val="lt1">
                <a:alpha val="50000"/>
              </a:schemeClr>
            </a:solidFill>
            <a:round/>
          </a:ln>
          <a:effectLst/>
        </c:spPr>
        <c:dLbl>
          <c:idx val="0"/>
          <c:layout>
            <c:manualLayout>
              <c:x val="5.7867170997033942E-3"/>
              <c:y val="-9.650602592744571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3"/>
        <c:spPr>
          <a:solidFill>
            <a:srgbClr val="C7A587">
              <a:alpha val="85000"/>
            </a:srgbClr>
          </a:solidFill>
          <a:ln w="9525" cap="flat" cmpd="sng" algn="ctr">
            <a:solidFill>
              <a:schemeClr val="lt1">
                <a:alpha val="50000"/>
              </a:schemeClr>
            </a:solidFill>
            <a:round/>
          </a:ln>
          <a:effectLst/>
        </c:spPr>
        <c:dLbl>
          <c:idx val="0"/>
          <c:layout>
            <c:manualLayout>
              <c:x val="0"/>
              <c:y val="-7.506024238801332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4"/>
        <c:spPr>
          <a:solidFill>
            <a:srgbClr val="C7A587">
              <a:alpha val="85000"/>
            </a:srgbClr>
          </a:solidFill>
          <a:ln w="9525" cap="flat" cmpd="sng" algn="ctr">
            <a:solidFill>
              <a:schemeClr val="lt1">
                <a:alpha val="50000"/>
              </a:schemeClr>
            </a:solidFill>
            <a:round/>
          </a:ln>
          <a:effectLst/>
        </c:spPr>
        <c:dLbl>
          <c:idx val="0"/>
          <c:layout>
            <c:manualLayout>
              <c:x val="1.9289056999010842E-3"/>
              <c:y val="-7.14859451314412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5"/>
        <c:spPr>
          <a:solidFill>
            <a:srgbClr val="C7A587">
              <a:alpha val="85000"/>
            </a:srgbClr>
          </a:solidFill>
          <a:ln w="9525" cap="flat" cmpd="sng" algn="ctr">
            <a:solidFill>
              <a:schemeClr val="lt1">
                <a:alpha val="50000"/>
              </a:schemeClr>
            </a:solidFill>
            <a:round/>
          </a:ln>
          <a:effectLst/>
        </c:spPr>
        <c:dLbl>
          <c:idx val="0"/>
          <c:layout>
            <c:manualLayout>
              <c:x val="1.9289056999011549E-3"/>
              <c:y val="-7.506024238801345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6"/>
        <c:spPr>
          <a:solidFill>
            <a:srgbClr val="C7A587">
              <a:alpha val="85000"/>
            </a:srgbClr>
          </a:solidFill>
          <a:ln w="9525" cap="flat" cmpd="sng" algn="ctr">
            <a:solidFill>
              <a:schemeClr val="lt1">
                <a:alpha val="50000"/>
              </a:schemeClr>
            </a:solidFill>
            <a:round/>
          </a:ln>
          <a:effectLst/>
        </c:spPr>
        <c:dLbl>
          <c:idx val="0"/>
          <c:layout>
            <c:manualLayout>
              <c:x val="0"/>
              <c:y val="-6.076305336172507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C7A587">
              <a:alpha val="85000"/>
            </a:srgbClr>
          </a:solidFill>
          <a:ln w="9525" cap="flat" cmpd="sng" algn="ctr">
            <a:solidFill>
              <a:schemeClr val="lt1">
                <a:alpha val="50000"/>
              </a:schemeClr>
            </a:solidFill>
            <a:round/>
          </a:ln>
          <a:effectLst/>
        </c:spPr>
        <c:dLbl>
          <c:idx val="0"/>
          <c:layout>
            <c:manualLayout>
              <c:x val="0"/>
              <c:y val="-5.361445884858094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C7A587">
              <a:alpha val="85000"/>
            </a:srgbClr>
          </a:solidFill>
          <a:ln w="9525" cap="flat" cmpd="sng" algn="ctr">
            <a:solidFill>
              <a:schemeClr val="lt1">
                <a:alpha val="50000"/>
              </a:schemeClr>
            </a:solidFill>
            <a:round/>
          </a:ln>
          <a:effectLst/>
        </c:spPr>
        <c:dLbl>
          <c:idx val="0"/>
          <c:layout>
            <c:manualLayout>
              <c:x val="0"/>
              <c:y val="-4.28915670788647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216600618100363E-2"/>
          <c:y val="6.0073242135279557E-2"/>
          <c:w val="0.95678344771810797"/>
          <c:h val="0.84122098534462963"/>
        </c:manualLayout>
      </c:layout>
      <c:barChart>
        <c:barDir val="col"/>
        <c:grouping val="stacked"/>
        <c:varyColors val="0"/>
        <c:ser>
          <c:idx val="0"/>
          <c:order val="0"/>
          <c:tx>
            <c:strRef>
              <c:f>'pivot table'!$AB$4</c:f>
              <c:strCache>
                <c:ptCount val="1"/>
                <c:pt idx="0">
                  <c:v>Total</c:v>
                </c:pt>
              </c:strCache>
            </c:strRef>
          </c:tx>
          <c:spPr>
            <a:solidFill>
              <a:srgbClr val="C7A587">
                <a:alpha val="85000"/>
              </a:srgbClr>
            </a:solidFill>
            <a:ln w="9525" cap="flat" cmpd="sng" algn="ctr">
              <a:solidFill>
                <a:schemeClr val="lt1">
                  <a:alpha val="50000"/>
                </a:schemeClr>
              </a:solidFill>
              <a:round/>
            </a:ln>
            <a:effectLst/>
          </c:spPr>
          <c:invertIfNegative val="0"/>
          <c:dPt>
            <c:idx val="0"/>
            <c:invertIfNegative val="0"/>
            <c:bubble3D val="0"/>
            <c:spPr>
              <a:solidFill>
                <a:srgbClr val="C7A587">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0-82B0-4DE9-8773-021556603070}"/>
              </c:ext>
            </c:extLst>
          </c:dPt>
          <c:dPt>
            <c:idx val="1"/>
            <c:invertIfNegative val="0"/>
            <c:bubble3D val="0"/>
            <c:spPr>
              <a:solidFill>
                <a:srgbClr val="C7A587">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1-82B0-4DE9-8773-021556603070}"/>
              </c:ext>
            </c:extLst>
          </c:dPt>
          <c:dPt>
            <c:idx val="2"/>
            <c:invertIfNegative val="0"/>
            <c:bubble3D val="0"/>
            <c:spPr>
              <a:solidFill>
                <a:srgbClr val="C7A587">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2-82B0-4DE9-8773-021556603070}"/>
              </c:ext>
            </c:extLst>
          </c:dPt>
          <c:dPt>
            <c:idx val="3"/>
            <c:invertIfNegative val="0"/>
            <c:bubble3D val="0"/>
            <c:spPr>
              <a:solidFill>
                <a:srgbClr val="C7A587">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3-82B0-4DE9-8773-021556603070}"/>
              </c:ext>
            </c:extLst>
          </c:dPt>
          <c:dPt>
            <c:idx val="4"/>
            <c:invertIfNegative val="0"/>
            <c:bubble3D val="0"/>
            <c:spPr>
              <a:solidFill>
                <a:srgbClr val="C7A587">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4-82B0-4DE9-8773-021556603070}"/>
              </c:ext>
            </c:extLst>
          </c:dPt>
          <c:dPt>
            <c:idx val="5"/>
            <c:invertIfNegative val="0"/>
            <c:bubble3D val="0"/>
            <c:spPr>
              <a:solidFill>
                <a:srgbClr val="C7A587">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5-82B0-4DE9-8773-021556603070}"/>
              </c:ext>
            </c:extLst>
          </c:dPt>
          <c:dPt>
            <c:idx val="6"/>
            <c:invertIfNegative val="0"/>
            <c:bubble3D val="0"/>
            <c:spPr>
              <a:solidFill>
                <a:srgbClr val="C7A587">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6-82B0-4DE9-8773-021556603070}"/>
              </c:ext>
            </c:extLst>
          </c:dPt>
          <c:dPt>
            <c:idx val="7"/>
            <c:invertIfNegative val="0"/>
            <c:bubble3D val="0"/>
            <c:spPr>
              <a:solidFill>
                <a:srgbClr val="C7A587">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7-82B0-4DE9-8773-021556603070}"/>
              </c:ext>
            </c:extLst>
          </c:dPt>
          <c:dPt>
            <c:idx val="8"/>
            <c:invertIfNegative val="0"/>
            <c:bubble3D val="0"/>
            <c:spPr>
              <a:solidFill>
                <a:srgbClr val="C7A587">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8-82B0-4DE9-8773-021556603070}"/>
              </c:ext>
            </c:extLst>
          </c:dPt>
          <c:dPt>
            <c:idx val="9"/>
            <c:invertIfNegative val="0"/>
            <c:bubble3D val="0"/>
            <c:spPr>
              <a:solidFill>
                <a:srgbClr val="C7A587">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9-82B0-4DE9-8773-021556603070}"/>
              </c:ext>
            </c:extLst>
          </c:dPt>
          <c:dLbls>
            <c:dLbl>
              <c:idx val="0"/>
              <c:layout>
                <c:manualLayout>
                  <c:x val="8.7286983719348701E-3"/>
                  <c:y val="-0.37443909250993779"/>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7766613511639608E-2"/>
                      <c:h val="0.11265352668583803"/>
                    </c:manualLayout>
                  </c15:layout>
                </c:ext>
                <c:ext xmlns:c16="http://schemas.microsoft.com/office/drawing/2014/chart" uri="{C3380CC4-5D6E-409C-BE32-E72D297353CC}">
                  <c16:uniqueId val="{00000000-82B0-4DE9-8773-021556603070}"/>
                </c:ext>
              </c:extLst>
            </c:dLbl>
            <c:dLbl>
              <c:idx val="1"/>
              <c:layout>
                <c:manualLayout>
                  <c:x val="3.8334403376325218E-3"/>
                  <c:y val="-0.372275556625373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B0-4DE9-8773-021556603070}"/>
                </c:ext>
              </c:extLst>
            </c:dLbl>
            <c:dLbl>
              <c:idx val="2"/>
              <c:layout>
                <c:manualLayout>
                  <c:x val="3.8578113998023098E-3"/>
                  <c:y val="-0.146546187519454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B0-4DE9-8773-021556603070}"/>
                </c:ext>
              </c:extLst>
            </c:dLbl>
            <c:dLbl>
              <c:idx val="3"/>
              <c:layout>
                <c:manualLayout>
                  <c:x val="5.7867170997033942E-3"/>
                  <c:y val="-9.650602592744571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B0-4DE9-8773-021556603070}"/>
                </c:ext>
              </c:extLst>
            </c:dLbl>
            <c:dLbl>
              <c:idx val="4"/>
              <c:layout>
                <c:manualLayout>
                  <c:x val="0"/>
                  <c:y val="-7.506024238801332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2B0-4DE9-8773-021556603070}"/>
                </c:ext>
              </c:extLst>
            </c:dLbl>
            <c:dLbl>
              <c:idx val="5"/>
              <c:layout>
                <c:manualLayout>
                  <c:x val="1.9289056999010842E-3"/>
                  <c:y val="-7.1485945131441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2B0-4DE9-8773-021556603070}"/>
                </c:ext>
              </c:extLst>
            </c:dLbl>
            <c:dLbl>
              <c:idx val="6"/>
              <c:layout>
                <c:manualLayout>
                  <c:x val="1.9289056999011549E-3"/>
                  <c:y val="-7.506024238801345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2B0-4DE9-8773-021556603070}"/>
                </c:ext>
              </c:extLst>
            </c:dLbl>
            <c:dLbl>
              <c:idx val="7"/>
              <c:layout>
                <c:manualLayout>
                  <c:x val="0"/>
                  <c:y val="-6.076305336172507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2B0-4DE9-8773-021556603070}"/>
                </c:ext>
              </c:extLst>
            </c:dLbl>
            <c:dLbl>
              <c:idx val="8"/>
              <c:layout>
                <c:manualLayout>
                  <c:x val="0"/>
                  <c:y val="-5.361445884858094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2B0-4DE9-8773-021556603070}"/>
                </c:ext>
              </c:extLst>
            </c:dLbl>
            <c:dLbl>
              <c:idx val="9"/>
              <c:layout>
                <c:manualLayout>
                  <c:x val="0"/>
                  <c:y val="-4.28915670788647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2B0-4DE9-8773-02155660307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50000"/>
                        </a:schemeClr>
                      </a:solidFill>
                    </a:ln>
                    <a:effectLst/>
                  </c:spPr>
                </c15:leaderLines>
              </c:ext>
            </c:extLst>
          </c:dLbls>
          <c:cat>
            <c:strRef>
              <c:f>'pivot table'!$AA$5:$AA$15</c:f>
              <c:strCache>
                <c:ptCount val="10"/>
                <c:pt idx="0">
                  <c:v>اسود</c:v>
                </c:pt>
                <c:pt idx="1">
                  <c:v>ابيض</c:v>
                </c:pt>
                <c:pt idx="2">
                  <c:v>رمادى</c:v>
                </c:pt>
                <c:pt idx="3">
                  <c:v>ازرق</c:v>
                </c:pt>
                <c:pt idx="4">
                  <c:v>بينك</c:v>
                </c:pt>
                <c:pt idx="5">
                  <c:v>بنفسجى</c:v>
                </c:pt>
                <c:pt idx="6">
                  <c:v>الوان</c:v>
                </c:pt>
                <c:pt idx="7">
                  <c:v>دهبي</c:v>
                </c:pt>
                <c:pt idx="8">
                  <c:v>ملون</c:v>
                </c:pt>
                <c:pt idx="9">
                  <c:v>نبيتى </c:v>
                </c:pt>
              </c:strCache>
            </c:strRef>
          </c:cat>
          <c:val>
            <c:numRef>
              <c:f>'pivot table'!$AB$5:$AB$15</c:f>
              <c:numCache>
                <c:formatCode>0.0%</c:formatCode>
                <c:ptCount val="10"/>
                <c:pt idx="0">
                  <c:v>0.45217953481535844</c:v>
                </c:pt>
                <c:pt idx="1">
                  <c:v>0.31513820945180282</c:v>
                </c:pt>
                <c:pt idx="2">
                  <c:v>9.7685794030478182E-2</c:v>
                </c:pt>
                <c:pt idx="3">
                  <c:v>3.0599465221129468E-2</c:v>
                </c:pt>
                <c:pt idx="4">
                  <c:v>2.6515904866302713E-2</c:v>
                </c:pt>
                <c:pt idx="5">
                  <c:v>2.5946488194625385E-2</c:v>
                </c:pt>
                <c:pt idx="6">
                  <c:v>2.1914833150123006E-2</c:v>
                </c:pt>
                <c:pt idx="7">
                  <c:v>1.5960112053800626E-2</c:v>
                </c:pt>
                <c:pt idx="8">
                  <c:v>8.7817618101283194E-3</c:v>
                </c:pt>
                <c:pt idx="9">
                  <c:v>5.2778964062510439E-3</c:v>
                </c:pt>
              </c:numCache>
            </c:numRef>
          </c:val>
          <c:extLst>
            <c:ext xmlns:c16="http://schemas.microsoft.com/office/drawing/2014/chart" uri="{C3380CC4-5D6E-409C-BE32-E72D297353CC}">
              <c16:uniqueId val="{0000000A-82B0-4DE9-8773-021556603070}"/>
            </c:ext>
          </c:extLst>
        </c:ser>
        <c:dLbls>
          <c:dLblPos val="ctr"/>
          <c:showLegendKey val="0"/>
          <c:showVal val="1"/>
          <c:showCatName val="0"/>
          <c:showSerName val="0"/>
          <c:showPercent val="0"/>
          <c:showBubbleSize val="0"/>
        </c:dLbls>
        <c:gapWidth val="150"/>
        <c:overlap val="100"/>
        <c:axId val="1510142240"/>
        <c:axId val="1510137920"/>
      </c:barChart>
      <c:catAx>
        <c:axId val="1510142240"/>
        <c:scaling>
          <c:orientation val="minMax"/>
        </c:scaling>
        <c:delete val="0"/>
        <c:axPos val="b"/>
        <c:numFmt formatCode="General" sourceLinked="1"/>
        <c:majorTickMark val="out"/>
        <c:minorTickMark val="none"/>
        <c:tickLblPos val="nextTo"/>
        <c:spPr>
          <a:noFill/>
          <a:ln w="19050" cap="flat" cmpd="sng" algn="ctr">
            <a:solidFill>
              <a:schemeClr val="accent1">
                <a:shade val="15000"/>
              </a:schemeClr>
            </a:solidFill>
            <a:round/>
          </a:ln>
          <a:effectLst/>
        </c:spPr>
        <c:txPr>
          <a:bodyPr rot="-60000000" spcFirstLastPara="1" vertOverflow="ellipsis" vert="horz" wrap="square" anchor="ctr" anchorCtr="1"/>
          <a:lstStyle/>
          <a:p>
            <a:pPr>
              <a:defRPr sz="1000" b="1" i="0" u="none" strike="noStrike" kern="1200" cap="all" baseline="0">
                <a:solidFill>
                  <a:srgbClr val="C7A587"/>
                </a:solidFill>
                <a:latin typeface="+mn-lt"/>
                <a:ea typeface="+mn-ea"/>
                <a:cs typeface="+mn-cs"/>
              </a:defRPr>
            </a:pPr>
            <a:endParaRPr lang="en-US"/>
          </a:p>
        </c:txPr>
        <c:crossAx val="1510137920"/>
        <c:crosses val="autoZero"/>
        <c:auto val="1"/>
        <c:lblAlgn val="ctr"/>
        <c:lblOffset val="100"/>
        <c:noMultiLvlLbl val="0"/>
      </c:catAx>
      <c:valAx>
        <c:axId val="1510137920"/>
        <c:scaling>
          <c:orientation val="minMax"/>
        </c:scaling>
        <c:delete val="1"/>
        <c:axPos val="l"/>
        <c:numFmt formatCode="0.0%" sourceLinked="1"/>
        <c:majorTickMark val="out"/>
        <c:minorTickMark val="none"/>
        <c:tickLblPos val="nextTo"/>
        <c:crossAx val="1510142240"/>
        <c:crosses val="autoZero"/>
        <c:crossBetween val="between"/>
      </c:valAx>
      <c:spPr>
        <a:noFill/>
        <a:ln w="25400">
          <a:noFill/>
        </a:ln>
        <a:effectLst>
          <a:glow rad="139700">
            <a:schemeClr val="accent2">
              <a:lumMod val="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39700">
        <a:srgbClr val="B98E67">
          <a:alpha val="40000"/>
        </a:srgbClr>
      </a:glow>
    </a:effectLst>
  </c:spPr>
  <c:txPr>
    <a:bodyPr/>
    <a:lstStyle/>
    <a:p>
      <a:pPr>
        <a:defRPr sz="1100" b="1">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mohamed.xlsx]pivot table!PivotTable18</c:name>
    <c:fmtId val="9"/>
  </c:pivotSource>
  <c:chart>
    <c:autoTitleDeleted val="1"/>
    <c:pivotFmts>
      <c:pivotFmt>
        <c:idx val="0"/>
        <c:spPr>
          <a:solidFill>
            <a:srgbClr val="C7A587">
              <a:alpha val="85000"/>
            </a:srgb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7A587">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9C2AD">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9C2AD">
              <a:alpha val="85000"/>
            </a:srgbClr>
          </a:solidFill>
          <a:ln w="9525" cap="flat" cmpd="sng" algn="ctr">
            <a:solidFill>
              <a:schemeClr val="lt1">
                <a:alpha val="50000"/>
              </a:schemeClr>
            </a:solidFill>
            <a:round/>
          </a:ln>
          <a:effectLst/>
        </c:spPr>
        <c:dLbl>
          <c:idx val="0"/>
          <c:layout>
            <c:manualLayout>
              <c:x val="1.4336710082006718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9C2AD">
              <a:alpha val="85000"/>
            </a:srgbClr>
          </a:solidFill>
          <a:ln w="9525" cap="flat" cmpd="sng" algn="ctr">
            <a:solidFill>
              <a:schemeClr val="lt1">
                <a:alpha val="50000"/>
              </a:schemeClr>
            </a:solidFill>
            <a:round/>
          </a:ln>
          <a:effectLst/>
        </c:spPr>
        <c:dLbl>
          <c:idx val="0"/>
          <c:layout>
            <c:manualLayout>
              <c:x val="3.1933634923709082E-3"/>
              <c:y val="-7.8852135688381892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9C2AD">
              <a:alpha val="85000"/>
            </a:srgbClr>
          </a:solidFill>
          <a:ln w="9525" cap="flat" cmpd="sng" algn="ctr">
            <a:solidFill>
              <a:schemeClr val="lt1">
                <a:alpha val="50000"/>
              </a:schemeClr>
            </a:solidFill>
            <a:round/>
          </a:ln>
          <a:effectLst/>
        </c:spPr>
        <c:dLbl>
          <c:idx val="0"/>
          <c:layout>
            <c:manualLayout>
              <c:x val="1.3046328687929928E-2"/>
              <c:y val="-3.9426067844190946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9C2AD">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9C2AD">
              <a:alpha val="85000"/>
            </a:srgbClr>
          </a:solidFill>
          <a:ln w="9525" cap="flat" cmpd="sng" algn="ctr">
            <a:solidFill>
              <a:schemeClr val="lt1">
                <a:alpha val="50000"/>
              </a:schemeClr>
            </a:solidFill>
            <a:round/>
          </a:ln>
          <a:effectLst/>
        </c:spPr>
        <c:dLbl>
          <c:idx val="0"/>
          <c:layout>
            <c:manualLayout>
              <c:x val="3.1933634923709082E-3"/>
              <c:y val="-7.8852135688381892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9C2AD">
              <a:alpha val="85000"/>
            </a:srgbClr>
          </a:solidFill>
          <a:ln w="9525" cap="flat" cmpd="sng" algn="ctr">
            <a:solidFill>
              <a:schemeClr val="lt1">
                <a:alpha val="50000"/>
              </a:schemeClr>
            </a:solidFill>
            <a:round/>
          </a:ln>
          <a:effectLst/>
        </c:spPr>
        <c:dLbl>
          <c:idx val="0"/>
          <c:layout>
            <c:manualLayout>
              <c:x val="1.4336710082006718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9C2AD">
              <a:alpha val="85000"/>
            </a:srgbClr>
          </a:solidFill>
          <a:ln w="9525" cap="flat" cmpd="sng" algn="ctr">
            <a:solidFill>
              <a:schemeClr val="lt1">
                <a:alpha val="50000"/>
              </a:schemeClr>
            </a:solidFill>
            <a:round/>
          </a:ln>
          <a:effectLst/>
        </c:spPr>
        <c:dLbl>
          <c:idx val="0"/>
          <c:layout>
            <c:manualLayout>
              <c:x val="1.3046328687929928E-2"/>
              <c:y val="-3.9426067844190946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7A587">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7A587">
              <a:alpha val="85000"/>
            </a:srgbClr>
          </a:solidFill>
          <a:ln w="9525" cap="flat" cmpd="sng" algn="ctr">
            <a:solidFill>
              <a:schemeClr val="lt1">
                <a:alpha val="50000"/>
              </a:schemeClr>
            </a:solidFill>
            <a:round/>
          </a:ln>
          <a:effectLst/>
        </c:spPr>
        <c:dLbl>
          <c:idx val="0"/>
          <c:layout>
            <c:manualLayout>
              <c:x val="3.1933634923709082E-3"/>
              <c:y val="-7.8852135688381892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7A587">
              <a:alpha val="85000"/>
            </a:srgbClr>
          </a:solidFill>
          <a:ln w="9525" cap="flat" cmpd="sng" algn="ctr">
            <a:solidFill>
              <a:schemeClr val="lt1">
                <a:alpha val="50000"/>
              </a:schemeClr>
            </a:solidFill>
            <a:round/>
          </a:ln>
          <a:effectLst/>
        </c:spPr>
        <c:dLbl>
          <c:idx val="0"/>
          <c:layout>
            <c:manualLayout>
              <c:x val="1.4336710082006718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7A587">
              <a:alpha val="85000"/>
            </a:srgbClr>
          </a:solidFill>
          <a:ln w="9525" cap="flat" cmpd="sng" algn="ctr">
            <a:solidFill>
              <a:schemeClr val="lt1">
                <a:alpha val="50000"/>
              </a:schemeClr>
            </a:solidFill>
            <a:round/>
          </a:ln>
          <a:effectLst/>
        </c:spPr>
        <c:dLbl>
          <c:idx val="0"/>
          <c:layout>
            <c:manualLayout>
              <c:x val="1.3046328687929928E-2"/>
              <c:y val="-3.9426067844190946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17172958381712"/>
          <c:y val="4.5123299415653198E-4"/>
          <c:w val="0.87211593602994109"/>
          <c:h val="0.89195908698568849"/>
        </c:manualLayout>
      </c:layout>
      <c:barChart>
        <c:barDir val="bar"/>
        <c:grouping val="clustered"/>
        <c:varyColors val="0"/>
        <c:ser>
          <c:idx val="0"/>
          <c:order val="0"/>
          <c:tx>
            <c:strRef>
              <c:f>'pivot table'!$W$5</c:f>
              <c:strCache>
                <c:ptCount val="1"/>
                <c:pt idx="0">
                  <c:v>Total</c:v>
                </c:pt>
              </c:strCache>
            </c:strRef>
          </c:tx>
          <c:spPr>
            <a:solidFill>
              <a:srgbClr val="C7A587">
                <a:alpha val="85000"/>
              </a:srgbClr>
            </a:solidFill>
            <a:ln w="9525" cap="flat" cmpd="sng" algn="ctr">
              <a:solidFill>
                <a:schemeClr val="lt1">
                  <a:alpha val="50000"/>
                </a:schemeClr>
              </a:solidFill>
              <a:round/>
            </a:ln>
            <a:effectLst/>
          </c:spPr>
          <c:invertIfNegative val="0"/>
          <c:dPt>
            <c:idx val="1"/>
            <c:invertIfNegative val="0"/>
            <c:bubble3D val="0"/>
            <c:spPr>
              <a:solidFill>
                <a:srgbClr val="C7A587">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0-6F10-48FF-8B14-8636ECF1A86D}"/>
              </c:ext>
            </c:extLst>
          </c:dPt>
          <c:dPt>
            <c:idx val="2"/>
            <c:invertIfNegative val="0"/>
            <c:bubble3D val="0"/>
            <c:spPr>
              <a:solidFill>
                <a:srgbClr val="C7A587">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1-6F10-48FF-8B14-8636ECF1A86D}"/>
              </c:ext>
            </c:extLst>
          </c:dPt>
          <c:dPt>
            <c:idx val="3"/>
            <c:invertIfNegative val="0"/>
            <c:bubble3D val="0"/>
            <c:spPr>
              <a:solidFill>
                <a:srgbClr val="C7A587">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2-6F10-48FF-8B14-8636ECF1A86D}"/>
              </c:ext>
            </c:extLst>
          </c:dPt>
          <c:dLbls>
            <c:dLbl>
              <c:idx val="1"/>
              <c:layout>
                <c:manualLayout>
                  <c:x val="3.1933634923709082E-3"/>
                  <c:y val="-7.885213568838189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10-48FF-8B14-8636ECF1A86D}"/>
                </c:ext>
              </c:extLst>
            </c:dLbl>
            <c:dLbl>
              <c:idx val="2"/>
              <c:layout>
                <c:manualLayout>
                  <c:x val="1.433671008200671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10-48FF-8B14-8636ECF1A86D}"/>
                </c:ext>
              </c:extLst>
            </c:dLbl>
            <c:dLbl>
              <c:idx val="3"/>
              <c:layout>
                <c:manualLayout>
                  <c:x val="1.3046328687929928E-2"/>
                  <c:y val="-3.942606784419094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10-48FF-8B14-8636ECF1A86D}"/>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50000"/>
                        </a:schemeClr>
                      </a:solidFill>
                    </a:ln>
                    <a:effectLst/>
                  </c:spPr>
                </c15:leaderLines>
              </c:ext>
            </c:extLst>
          </c:dLbls>
          <c:cat>
            <c:strRef>
              <c:f>'pivot table'!$V$6:$V$12</c:f>
              <c:strCache>
                <c:ptCount val="6"/>
                <c:pt idx="0">
                  <c:v>سرير</c:v>
                </c:pt>
                <c:pt idx="1">
                  <c:v>كنبه</c:v>
                </c:pt>
                <c:pt idx="2">
                  <c:v>تربيزه</c:v>
                </c:pt>
                <c:pt idx="3">
                  <c:v>ركنة</c:v>
                </c:pt>
                <c:pt idx="4">
                  <c:v>شيزلونج</c:v>
                </c:pt>
                <c:pt idx="5">
                  <c:v>كرسى</c:v>
                </c:pt>
              </c:strCache>
            </c:strRef>
          </c:cat>
          <c:val>
            <c:numRef>
              <c:f>'pivot table'!$W$6:$W$12</c:f>
              <c:numCache>
                <c:formatCode>_(* #,##0_);_(* \(#,##0\);_(* "-"??_);_(@_)</c:formatCode>
                <c:ptCount val="6"/>
                <c:pt idx="0">
                  <c:v>732827.5</c:v>
                </c:pt>
                <c:pt idx="1">
                  <c:v>235234</c:v>
                </c:pt>
                <c:pt idx="2">
                  <c:v>114150</c:v>
                </c:pt>
                <c:pt idx="3">
                  <c:v>22000</c:v>
                </c:pt>
                <c:pt idx="4">
                  <c:v>10366</c:v>
                </c:pt>
                <c:pt idx="5">
                  <c:v>9300</c:v>
                </c:pt>
              </c:numCache>
            </c:numRef>
          </c:val>
          <c:extLst>
            <c:ext xmlns:c16="http://schemas.microsoft.com/office/drawing/2014/chart" uri="{C3380CC4-5D6E-409C-BE32-E72D297353CC}">
              <c16:uniqueId val="{00000003-6F10-48FF-8B14-8636ECF1A86D}"/>
            </c:ext>
          </c:extLst>
        </c:ser>
        <c:dLbls>
          <c:dLblPos val="inEnd"/>
          <c:showLegendKey val="0"/>
          <c:showVal val="1"/>
          <c:showCatName val="0"/>
          <c:showSerName val="0"/>
          <c:showPercent val="0"/>
          <c:showBubbleSize val="0"/>
        </c:dLbls>
        <c:gapWidth val="65"/>
        <c:axId val="1510065440"/>
        <c:axId val="1510065920"/>
      </c:barChart>
      <c:catAx>
        <c:axId val="15100654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rgbClr val="C7A587"/>
                </a:solidFill>
                <a:latin typeface="+mn-lt"/>
                <a:ea typeface="+mn-ea"/>
                <a:cs typeface="+mn-cs"/>
              </a:defRPr>
            </a:pPr>
            <a:endParaRPr lang="en-US"/>
          </a:p>
        </c:txPr>
        <c:crossAx val="1510065920"/>
        <c:crosses val="autoZero"/>
        <c:auto val="1"/>
        <c:lblAlgn val="ctr"/>
        <c:lblOffset val="100"/>
        <c:noMultiLvlLbl val="0"/>
      </c:catAx>
      <c:valAx>
        <c:axId val="1510065920"/>
        <c:scaling>
          <c:orientation val="minMax"/>
        </c:scaling>
        <c:delete val="1"/>
        <c:axPos val="b"/>
        <c:numFmt formatCode="_(* #,##0_);_(* \(#,##0\);_(* &quot;-&quot;??_);_(@_)" sourceLinked="1"/>
        <c:majorTickMark val="none"/>
        <c:minorTickMark val="none"/>
        <c:tickLblPos val="nextTo"/>
        <c:crossAx val="151006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39700">
        <a:srgbClr val="C7A587">
          <a:alpha val="40000"/>
        </a:srgbClr>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mohamed.xlsx]pivot table!PivotTable17</c:name>
    <c:fmtId val="8"/>
  </c:pivotSource>
  <c:chart>
    <c:autoTitleDeleted val="1"/>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rgbClr val="D9C2AD"/>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5">
                <a:lumMod val="50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rgbClr val="D9C2AD"/>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5">
                <a:lumMod val="50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25400" cap="rnd">
            <a:solidFill>
              <a:srgbClr val="B98E67"/>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5"/>
        <c:spPr>
          <a:pattFill prst="ltUpDiag">
            <a:fgClr>
              <a:schemeClr val="accent1"/>
            </a:fgClr>
            <a:bgClr>
              <a:schemeClr val="lt1"/>
            </a:bgClr>
          </a:pattFill>
          <a:ln w="25400" cap="rnd">
            <a:solidFill>
              <a:srgbClr val="B98E67"/>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6"/>
        <c:spPr>
          <a:pattFill prst="ltUpDiag">
            <a:fgClr>
              <a:schemeClr val="accent1"/>
            </a:fgClr>
            <a:bgClr>
              <a:schemeClr val="lt1"/>
            </a:bgClr>
          </a:pattFill>
          <a:ln w="25400" cap="rnd">
            <a:solidFill>
              <a:srgbClr val="D9C2AD"/>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5">
                <a:lumMod val="50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25400" cap="rnd">
            <a:solidFill>
              <a:srgbClr val="B98E67"/>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8"/>
        <c:spPr>
          <a:pattFill prst="ltUpDiag">
            <a:fgClr>
              <a:schemeClr val="accent1"/>
            </a:fgClr>
            <a:bgClr>
              <a:schemeClr val="lt1"/>
            </a:bgClr>
          </a:pattFill>
          <a:ln w="25400" cap="rnd">
            <a:solidFill>
              <a:srgbClr val="B98E67"/>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9"/>
        <c:spPr>
          <a:ln w="25400" cap="rnd">
            <a:solidFill>
              <a:srgbClr val="D9C2AD"/>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5">
                <a:lumMod val="50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A6031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ln w="25400" cap="rnd">
            <a:solidFill>
              <a:srgbClr val="B98E67"/>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11"/>
        <c:spPr>
          <a:ln w="25400" cap="rnd">
            <a:solidFill>
              <a:srgbClr val="B98E67"/>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12"/>
        <c:spPr>
          <a:ln w="25400" cap="rnd">
            <a:solidFill>
              <a:srgbClr val="D9C2AD"/>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13"/>
        <c:spPr>
          <a:ln w="25400" cap="rnd">
            <a:solidFill>
              <a:srgbClr val="D9C2AD"/>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14"/>
        <c:spPr>
          <a:ln w="25400" cap="rnd">
            <a:solidFill>
              <a:srgbClr val="D9C2AD"/>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s>
    <c:plotArea>
      <c:layout>
        <c:manualLayout>
          <c:layoutTarget val="inner"/>
          <c:xMode val="edge"/>
          <c:yMode val="edge"/>
          <c:x val="7.0578170827820641E-2"/>
          <c:y val="7.213173702624108E-2"/>
          <c:w val="0.91130319821133465"/>
          <c:h val="0.76717328938533846"/>
        </c:manualLayout>
      </c:layout>
      <c:lineChart>
        <c:grouping val="standard"/>
        <c:varyColors val="0"/>
        <c:ser>
          <c:idx val="0"/>
          <c:order val="0"/>
          <c:tx>
            <c:strRef>
              <c:f>'pivot table'!$R$5</c:f>
              <c:strCache>
                <c:ptCount val="1"/>
                <c:pt idx="0">
                  <c:v>Total</c:v>
                </c:pt>
              </c:strCache>
            </c:strRef>
          </c:tx>
          <c:spPr>
            <a:ln w="25400" cap="rnd">
              <a:solidFill>
                <a:srgbClr val="D9C2AD"/>
              </a:solidFill>
              <a:round/>
            </a:ln>
            <a:effectLst>
              <a:outerShdw dist="25400" dir="2700000" algn="tl" rotWithShape="0">
                <a:schemeClr val="accent1"/>
              </a:outerShdw>
            </a:effectLst>
          </c:spPr>
          <c:marker>
            <c:symbol val="circle"/>
            <c:size val="14"/>
            <c:spPr>
              <a:solidFill>
                <a:schemeClr val="accent1"/>
              </a:solidFill>
              <a:ln>
                <a:noFill/>
              </a:ln>
              <a:effectLst/>
            </c:spPr>
          </c:marker>
          <c:dPt>
            <c:idx val="1"/>
            <c:marker>
              <c:symbol val="circle"/>
              <c:size val="14"/>
              <c:spPr>
                <a:solidFill>
                  <a:schemeClr val="accent1"/>
                </a:solidFill>
                <a:ln>
                  <a:noFill/>
                </a:ln>
                <a:effectLst/>
              </c:spPr>
            </c:marker>
            <c:bubble3D val="0"/>
            <c:spPr>
              <a:ln w="25400" cap="rnd">
                <a:solidFill>
                  <a:srgbClr val="D9C2AD"/>
                </a:solidFill>
                <a:round/>
              </a:ln>
              <a:effectLst>
                <a:outerShdw dist="25400" dir="2700000" algn="tl" rotWithShape="0">
                  <a:schemeClr val="accent1"/>
                </a:outerShdw>
              </a:effectLst>
            </c:spPr>
            <c:extLst>
              <c:ext xmlns:c16="http://schemas.microsoft.com/office/drawing/2014/chart" uri="{C3380CC4-5D6E-409C-BE32-E72D297353CC}">
                <c16:uniqueId val="{00000001-DF1B-437B-8D77-3A5958AE464C}"/>
              </c:ext>
            </c:extLst>
          </c:dPt>
          <c:dPt>
            <c:idx val="2"/>
            <c:marker>
              <c:symbol val="circle"/>
              <c:size val="14"/>
              <c:spPr>
                <a:solidFill>
                  <a:schemeClr val="accent1"/>
                </a:solidFill>
                <a:ln>
                  <a:noFill/>
                </a:ln>
                <a:effectLst/>
              </c:spPr>
            </c:marker>
            <c:bubble3D val="0"/>
            <c:spPr>
              <a:ln w="25400" cap="rnd">
                <a:solidFill>
                  <a:srgbClr val="B98E67"/>
                </a:solidFill>
                <a:round/>
              </a:ln>
              <a:effectLst>
                <a:outerShdw dist="25400" dir="2700000" algn="tl" rotWithShape="0">
                  <a:schemeClr val="accent1"/>
                </a:outerShdw>
              </a:effectLst>
            </c:spPr>
            <c:extLst>
              <c:ext xmlns:c16="http://schemas.microsoft.com/office/drawing/2014/chart" uri="{C3380CC4-5D6E-409C-BE32-E72D297353CC}">
                <c16:uniqueId val="{00000001-997E-4A19-828F-21DD10CCABC7}"/>
              </c:ext>
            </c:extLst>
          </c:dPt>
          <c:dPt>
            <c:idx val="3"/>
            <c:marker>
              <c:symbol val="circle"/>
              <c:size val="14"/>
              <c:spPr>
                <a:solidFill>
                  <a:schemeClr val="accent1"/>
                </a:solidFill>
                <a:ln>
                  <a:noFill/>
                </a:ln>
                <a:effectLst/>
              </c:spPr>
            </c:marker>
            <c:bubble3D val="0"/>
            <c:spPr>
              <a:ln w="25400" cap="rnd">
                <a:solidFill>
                  <a:srgbClr val="B98E67"/>
                </a:solidFill>
                <a:round/>
              </a:ln>
              <a:effectLst>
                <a:outerShdw dist="25400" dir="2700000" algn="tl" rotWithShape="0">
                  <a:schemeClr val="accent1"/>
                </a:outerShdw>
              </a:effectLst>
            </c:spPr>
            <c:extLst>
              <c:ext xmlns:c16="http://schemas.microsoft.com/office/drawing/2014/chart" uri="{C3380CC4-5D6E-409C-BE32-E72D297353CC}">
                <c16:uniqueId val="{00000003-997E-4A19-828F-21DD10CCABC7}"/>
              </c:ext>
            </c:extLst>
          </c:dPt>
          <c:dPt>
            <c:idx val="4"/>
            <c:marker>
              <c:symbol val="circle"/>
              <c:size val="14"/>
              <c:spPr>
                <a:solidFill>
                  <a:schemeClr val="accent1"/>
                </a:solidFill>
                <a:ln>
                  <a:noFill/>
                </a:ln>
                <a:effectLst/>
              </c:spPr>
            </c:marker>
            <c:bubble3D val="0"/>
            <c:spPr>
              <a:ln w="25400" cap="rnd">
                <a:solidFill>
                  <a:srgbClr val="D9C2AD"/>
                </a:solidFill>
                <a:round/>
              </a:ln>
              <a:effectLst>
                <a:outerShdw dist="25400" dir="2700000" algn="tl" rotWithShape="0">
                  <a:schemeClr val="accent1"/>
                </a:outerShdw>
              </a:effectLst>
            </c:spPr>
            <c:extLst>
              <c:ext xmlns:c16="http://schemas.microsoft.com/office/drawing/2014/chart" uri="{C3380CC4-5D6E-409C-BE32-E72D297353CC}">
                <c16:uniqueId val="{00000005-A914-482B-BDDB-155EFB445CD9}"/>
              </c:ext>
            </c:extLst>
          </c:dPt>
          <c:dPt>
            <c:idx val="6"/>
            <c:marker>
              <c:symbol val="circle"/>
              <c:size val="14"/>
              <c:spPr>
                <a:solidFill>
                  <a:schemeClr val="accent1"/>
                </a:solidFill>
                <a:ln>
                  <a:noFill/>
                </a:ln>
                <a:effectLst/>
              </c:spPr>
            </c:marker>
            <c:bubble3D val="0"/>
            <c:spPr>
              <a:ln w="25400" cap="rnd">
                <a:solidFill>
                  <a:srgbClr val="D9C2AD"/>
                </a:solidFill>
                <a:round/>
              </a:ln>
              <a:effectLst>
                <a:outerShdw dist="25400" dir="2700000" algn="tl" rotWithShape="0">
                  <a:schemeClr val="accent1"/>
                </a:outerShdw>
              </a:effectLst>
            </c:spPr>
            <c:extLst>
              <c:ext xmlns:c16="http://schemas.microsoft.com/office/drawing/2014/chart" uri="{C3380CC4-5D6E-409C-BE32-E72D297353CC}">
                <c16:uniqueId val="{00000005-DF1B-437B-8D77-3A5958AE464C}"/>
              </c:ext>
            </c:extLst>
          </c:dPt>
          <c:dLbls>
            <c:spPr>
              <a:solidFill>
                <a:schemeClr val="accent5">
                  <a:lumMod val="50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A6031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table'!$Q$6:$Q$14</c:f>
              <c:strCache>
                <c:ptCount val="8"/>
                <c:pt idx="0">
                  <c:v>هومزمارت</c:v>
                </c:pt>
                <c:pt idx="1">
                  <c:v>شيك هومز </c:v>
                </c:pt>
                <c:pt idx="2">
                  <c:v>اوسكار ريتن </c:v>
                </c:pt>
                <c:pt idx="3">
                  <c:v>تاكى</c:v>
                </c:pt>
                <c:pt idx="4">
                  <c:v>السويس</c:v>
                </c:pt>
                <c:pt idx="5">
                  <c:v>فيسبوك</c:v>
                </c:pt>
                <c:pt idx="6">
                  <c:v>منزلى </c:v>
                </c:pt>
                <c:pt idx="7">
                  <c:v>كيمت </c:v>
                </c:pt>
              </c:strCache>
            </c:strRef>
          </c:cat>
          <c:val>
            <c:numRef>
              <c:f>'pivot table'!$R$6:$R$14</c:f>
              <c:numCache>
                <c:formatCode>General</c:formatCode>
                <c:ptCount val="8"/>
                <c:pt idx="0">
                  <c:v>65</c:v>
                </c:pt>
                <c:pt idx="1">
                  <c:v>15</c:v>
                </c:pt>
                <c:pt idx="2">
                  <c:v>10</c:v>
                </c:pt>
                <c:pt idx="3">
                  <c:v>5</c:v>
                </c:pt>
                <c:pt idx="4">
                  <c:v>4</c:v>
                </c:pt>
                <c:pt idx="5">
                  <c:v>3</c:v>
                </c:pt>
                <c:pt idx="6">
                  <c:v>2</c:v>
                </c:pt>
                <c:pt idx="7">
                  <c:v>1</c:v>
                </c:pt>
              </c:numCache>
            </c:numRef>
          </c:val>
          <c:smooth val="1"/>
          <c:extLst>
            <c:ext xmlns:c16="http://schemas.microsoft.com/office/drawing/2014/chart" uri="{C3380CC4-5D6E-409C-BE32-E72D297353CC}">
              <c16:uniqueId val="{00000004-997E-4A19-828F-21DD10CCABC7}"/>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10117280"/>
        <c:axId val="1510103840"/>
      </c:lineChart>
      <c:catAx>
        <c:axId val="15101172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spc="30" baseline="0">
                <a:solidFill>
                  <a:srgbClr val="C7A587"/>
                </a:solidFill>
                <a:latin typeface="+mn-lt"/>
                <a:ea typeface="+mn-ea"/>
                <a:cs typeface="+mn-cs"/>
              </a:defRPr>
            </a:pPr>
            <a:endParaRPr lang="en-US"/>
          </a:p>
        </c:txPr>
        <c:crossAx val="1510103840"/>
        <c:crosses val="autoZero"/>
        <c:auto val="1"/>
        <c:lblAlgn val="ctr"/>
        <c:lblOffset val="100"/>
        <c:noMultiLvlLbl val="0"/>
      </c:catAx>
      <c:valAx>
        <c:axId val="15101038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crossAx val="1510117280"/>
        <c:crosses val="autoZero"/>
        <c:crossBetween val="between"/>
      </c:valAx>
      <c:spPr>
        <a:noFill/>
        <a:ln>
          <a:noFill/>
        </a:ln>
        <a:effectLst>
          <a:glow rad="1905000">
            <a:schemeClr val="accent2">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39700">
        <a:srgbClr val="B98E67">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mohamed.xlsx]pivot table!PivotTable22</c:name>
    <c:fmtId val="3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D9C2AD"/>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19"/>
        <c:spPr>
          <a:solidFill>
            <a:schemeClr val="accent5">
              <a:lumMod val="50000"/>
            </a:schemeClr>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D9C2AD"/>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24"/>
        <c:spPr>
          <a:solidFill>
            <a:schemeClr val="accent5">
              <a:lumMod val="50000"/>
            </a:schemeClr>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rgbClr val="D9C2AD"/>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29"/>
        <c:spPr>
          <a:solidFill>
            <a:schemeClr val="accent5">
              <a:lumMod val="50000"/>
            </a:schemeClr>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30"/>
        <c:spPr>
          <a:solidFill>
            <a:srgbClr val="FF0000"/>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2"/>
        <c:spPr>
          <a:solidFill>
            <a:srgbClr val="D9C2AD"/>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34"/>
        <c:spPr>
          <a:solidFill>
            <a:schemeClr val="accent5">
              <a:lumMod val="50000"/>
            </a:schemeClr>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35"/>
        <c:spPr>
          <a:solidFill>
            <a:srgbClr val="FF0000"/>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7"/>
        <c:spPr>
          <a:solidFill>
            <a:srgbClr val="D9C2AD"/>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39"/>
        <c:spPr>
          <a:solidFill>
            <a:schemeClr val="accent5">
              <a:lumMod val="50000"/>
            </a:schemeClr>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40"/>
        <c:spPr>
          <a:solidFill>
            <a:srgbClr val="C00000"/>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rgbClr val="D9C2AD"/>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44"/>
        <c:spPr>
          <a:solidFill>
            <a:schemeClr val="accent5">
              <a:lumMod val="50000"/>
            </a:schemeClr>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45"/>
        <c:spPr>
          <a:solidFill>
            <a:srgbClr val="C00000"/>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rgbClr val="D9C2AD"/>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48"/>
        <c:spPr>
          <a:solidFill>
            <a:schemeClr val="accent1"/>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49"/>
        <c:spPr>
          <a:solidFill>
            <a:schemeClr val="accent5">
              <a:lumMod val="50000"/>
            </a:schemeClr>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50"/>
        <c:spPr>
          <a:solidFill>
            <a:srgbClr val="C00000"/>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51"/>
        <c:spPr>
          <a:solidFill>
            <a:schemeClr val="accent1"/>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2"/>
        <c:spPr>
          <a:solidFill>
            <a:srgbClr val="D9C2AD"/>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53"/>
        <c:spPr>
          <a:solidFill>
            <a:schemeClr val="accent1"/>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54"/>
        <c:spPr>
          <a:solidFill>
            <a:schemeClr val="accent5">
              <a:lumMod val="50000"/>
            </a:schemeClr>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55"/>
        <c:spPr>
          <a:solidFill>
            <a:srgbClr val="C00000"/>
          </a:solidFill>
          <a:ln>
            <a:noFill/>
          </a:ln>
          <a:effectLst>
            <a:glow rad="63500">
              <a:schemeClr val="accent5">
                <a:satMod val="1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56"/>
        <c:spPr>
          <a:solidFill>
            <a:schemeClr val="accent1"/>
          </a:solidFill>
          <a:ln>
            <a:noFill/>
          </a:ln>
          <a:effectLst>
            <a:glow rad="63500">
              <a:schemeClr val="accent5">
                <a:lumMod val="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rgbClr val="D9C2AD"/>
          </a:solidFill>
          <a:ln>
            <a:noFill/>
          </a:ln>
          <a:effectLst>
            <a:glow rad="63500">
              <a:schemeClr val="accent5">
                <a:lumMod val="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58"/>
        <c:spPr>
          <a:solidFill>
            <a:schemeClr val="accent1"/>
          </a:solidFill>
          <a:ln>
            <a:noFill/>
          </a:ln>
          <a:effectLst>
            <a:glow rad="63500">
              <a:schemeClr val="accent5">
                <a:lumMod val="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59"/>
        <c:spPr>
          <a:solidFill>
            <a:schemeClr val="accent5">
              <a:lumMod val="50000"/>
            </a:schemeClr>
          </a:solidFill>
          <a:ln>
            <a:noFill/>
          </a:ln>
          <a:effectLst>
            <a:glow rad="63500">
              <a:schemeClr val="accent5">
                <a:lumMod val="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60"/>
        <c:spPr>
          <a:solidFill>
            <a:srgbClr val="C00000"/>
          </a:solidFill>
          <a:ln>
            <a:noFill/>
          </a:ln>
          <a:effectLst>
            <a:glow rad="63500">
              <a:schemeClr val="accent5">
                <a:lumMod val="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61"/>
        <c:spPr>
          <a:solidFill>
            <a:schemeClr val="accent1"/>
          </a:solidFill>
          <a:ln>
            <a:noFill/>
          </a:ln>
          <a:effectLst>
            <a:glow rad="63500">
              <a:schemeClr val="accent5">
                <a:lumMod val="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2"/>
        <c:spPr>
          <a:solidFill>
            <a:srgbClr val="D9C2AD"/>
          </a:solidFill>
          <a:ln>
            <a:noFill/>
          </a:ln>
          <a:effectLst>
            <a:glow rad="63500">
              <a:schemeClr val="accent5">
                <a:lumMod val="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63"/>
        <c:spPr>
          <a:solidFill>
            <a:schemeClr val="accent1"/>
          </a:solidFill>
          <a:ln>
            <a:noFill/>
          </a:ln>
          <a:effectLst>
            <a:glow rad="63500">
              <a:schemeClr val="accent5">
                <a:lumMod val="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64"/>
        <c:spPr>
          <a:solidFill>
            <a:schemeClr val="accent5">
              <a:lumMod val="50000"/>
            </a:schemeClr>
          </a:solidFill>
          <a:ln>
            <a:noFill/>
          </a:ln>
          <a:effectLst>
            <a:glow rad="63500">
              <a:schemeClr val="accent5">
                <a:lumMod val="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65"/>
        <c:spPr>
          <a:solidFill>
            <a:srgbClr val="C00000"/>
          </a:solidFill>
          <a:ln>
            <a:noFill/>
          </a:ln>
          <a:effectLst>
            <a:glow rad="63500">
              <a:schemeClr val="accent5">
                <a:lumMod val="75000"/>
                <a:alpha val="40000"/>
              </a:scheme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66"/>
        <c:spPr>
          <a:solidFill>
            <a:schemeClr val="accent1"/>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FF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rgbClr val="D9C2AD"/>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68"/>
        <c:spPr>
          <a:solidFill>
            <a:schemeClr val="accent1"/>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dLbl>
          <c:idx val="0"/>
          <c:layout>
            <c:manualLayout>
              <c:x val="-5.1779952868011403E-2"/>
              <c:y val="3.0418250950570342E-2"/>
            </c:manualLayout>
          </c:layout>
          <c:spPr>
            <a:noFill/>
            <a:ln>
              <a:noFill/>
            </a:ln>
            <a:effectLst/>
          </c:spPr>
          <c:txPr>
            <a:bodyPr rot="0" spcFirstLastPara="1" vertOverflow="ellipsis" vert="horz" wrap="square" anchor="ctr" anchorCtr="1"/>
            <a:lstStyle/>
            <a:p>
              <a:pPr>
                <a:defRPr sz="1200" b="1" i="0" u="none" strike="noStrike" kern="1200" baseline="0">
                  <a:solidFill>
                    <a:srgbClr val="FF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9"/>
        <c:spPr>
          <a:solidFill>
            <a:schemeClr val="bg1">
              <a:lumMod val="95000"/>
            </a:schemeClr>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70"/>
        <c:spPr>
          <a:solidFill>
            <a:srgbClr val="C00000"/>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dLbl>
          <c:idx val="0"/>
          <c:layout>
            <c:manualLayout>
              <c:x val="5.1779952868011403E-2"/>
              <c:y val="1.5209125475285171E-2"/>
            </c:manualLayout>
          </c:layout>
          <c:spPr>
            <a:noFill/>
            <a:ln>
              <a:noFill/>
            </a:ln>
            <a:effectLst/>
          </c:spPr>
          <c:txPr>
            <a:bodyPr rot="0" spcFirstLastPara="1" vertOverflow="ellipsis" vert="horz" wrap="square" anchor="ctr" anchorCtr="1"/>
            <a:lstStyle/>
            <a:p>
              <a:pPr>
                <a:defRPr sz="1200" b="1" i="0" u="none" strike="noStrike" kern="1200" baseline="0">
                  <a:solidFill>
                    <a:srgbClr val="FF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FF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2"/>
        <c:spPr>
          <a:solidFill>
            <a:srgbClr val="D9C2AD"/>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73"/>
        <c:spPr>
          <a:solidFill>
            <a:schemeClr val="accent1"/>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dLbl>
          <c:idx val="0"/>
          <c:layout>
            <c:manualLayout>
              <c:x val="-5.1779952868011403E-2"/>
              <c:y val="3.0418250950570342E-2"/>
            </c:manualLayout>
          </c:layout>
          <c:spPr>
            <a:noFill/>
            <a:ln>
              <a:noFill/>
            </a:ln>
            <a:effectLst/>
          </c:spPr>
          <c:txPr>
            <a:bodyPr rot="0" spcFirstLastPara="1" vertOverflow="ellipsis" vert="horz" wrap="square" anchor="ctr" anchorCtr="1"/>
            <a:lstStyle/>
            <a:p>
              <a:pPr>
                <a:defRPr sz="1200" b="1" i="0" u="none" strike="noStrike" kern="1200" baseline="0">
                  <a:solidFill>
                    <a:srgbClr val="FF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4"/>
        <c:spPr>
          <a:solidFill>
            <a:schemeClr val="bg1">
              <a:lumMod val="95000"/>
            </a:schemeClr>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75"/>
        <c:spPr>
          <a:solidFill>
            <a:srgbClr val="C00000"/>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dLbl>
          <c:idx val="0"/>
          <c:layout>
            <c:manualLayout>
              <c:x val="5.1779952868011403E-2"/>
              <c:y val="1.5209125475285171E-2"/>
            </c:manualLayout>
          </c:layout>
          <c:spPr>
            <a:noFill/>
            <a:ln>
              <a:noFill/>
            </a:ln>
            <a:effectLst/>
          </c:spPr>
          <c:txPr>
            <a:bodyPr rot="0" spcFirstLastPara="1" vertOverflow="ellipsis" vert="horz" wrap="square" anchor="ctr" anchorCtr="1"/>
            <a:lstStyle/>
            <a:p>
              <a:pPr>
                <a:defRPr sz="1200" b="1" i="0" u="none" strike="noStrike" kern="1200" baseline="0">
                  <a:solidFill>
                    <a:srgbClr val="FF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6"/>
        <c:spPr>
          <a:solidFill>
            <a:schemeClr val="accent1"/>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A6031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7"/>
        <c:spPr>
          <a:solidFill>
            <a:srgbClr val="C7A587"/>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78"/>
        <c:spPr>
          <a:solidFill>
            <a:schemeClr val="accent1"/>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dLbl>
          <c:idx val="0"/>
          <c:layout>
            <c:manualLayout>
              <c:x val="-5.1779952868011403E-2"/>
              <c:y val="3.0418250950570342E-2"/>
            </c:manualLayout>
          </c:layout>
          <c:spPr>
            <a:noFill/>
            <a:ln>
              <a:noFill/>
            </a:ln>
            <a:effectLst/>
          </c:spPr>
          <c:txPr>
            <a:bodyPr rot="0" spcFirstLastPara="1" vertOverflow="ellipsis" vert="horz" wrap="square" anchor="ctr" anchorCtr="1"/>
            <a:lstStyle/>
            <a:p>
              <a:pPr>
                <a:defRPr sz="1200" b="1" i="0" u="none" strike="noStrike" kern="1200" baseline="0">
                  <a:solidFill>
                    <a:srgbClr val="A6031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bg1">
              <a:lumMod val="95000"/>
            </a:schemeClr>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pivotFmt>
      <c:pivotFmt>
        <c:idx val="80"/>
        <c:spPr>
          <a:solidFill>
            <a:srgbClr val="C00000"/>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dLbl>
          <c:idx val="0"/>
          <c:layout>
            <c:manualLayout>
              <c:x val="5.1779952868011403E-2"/>
              <c:y val="1.5209125475285171E-2"/>
            </c:manualLayout>
          </c:layout>
          <c:spPr>
            <a:noFill/>
            <a:ln>
              <a:noFill/>
            </a:ln>
            <a:effectLst/>
          </c:spPr>
          <c:txPr>
            <a:bodyPr rot="0" spcFirstLastPara="1" vertOverflow="ellipsis" vert="horz" wrap="square" anchor="ctr" anchorCtr="1"/>
            <a:lstStyle/>
            <a:p>
              <a:pPr>
                <a:defRPr sz="1200" b="1" i="0" u="none" strike="noStrike" kern="1200" baseline="0">
                  <a:solidFill>
                    <a:srgbClr val="A6031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4.3916308568684434E-2"/>
          <c:y val="5.0957022196595092E-2"/>
          <c:w val="0.74826744265590384"/>
          <c:h val="0.88105445734535404"/>
        </c:manualLayout>
      </c:layout>
      <c:doughnutChart>
        <c:varyColors val="1"/>
        <c:ser>
          <c:idx val="0"/>
          <c:order val="0"/>
          <c:tx>
            <c:strRef>
              <c:f>'pivot table'!$AL$5</c:f>
              <c:strCache>
                <c:ptCount val="1"/>
                <c:pt idx="0">
                  <c:v>Total</c:v>
                </c:pt>
              </c:strCache>
            </c:strRef>
          </c:tx>
          <c:spPr>
            <a:ln>
              <a:noFill/>
            </a:ln>
            <a:effectLst>
              <a:glow rad="139700">
                <a:srgbClr val="B98E67">
                  <a:alpha val="40000"/>
                </a:srgbClr>
              </a:glow>
              <a:outerShdw blurRad="152400" dist="50800" dir="5400000" sx="99000" sy="99000" algn="ctr" rotWithShape="0">
                <a:srgbClr val="000000">
                  <a:alpha val="96000"/>
                </a:srgbClr>
              </a:outerShdw>
            </a:effectLst>
          </c:spPr>
          <c:dPt>
            <c:idx val="0"/>
            <c:bubble3D val="0"/>
            <c:spPr>
              <a:solidFill>
                <a:srgbClr val="C7A587"/>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72C-48B1-8B34-7B7B3369F657}"/>
              </c:ext>
            </c:extLst>
          </c:dPt>
          <c:dPt>
            <c:idx val="1"/>
            <c:bubble3D val="0"/>
            <c:spPr>
              <a:solidFill>
                <a:schemeClr val="accent2"/>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72C-48B1-8B34-7B7B3369F657}"/>
              </c:ext>
            </c:extLst>
          </c:dPt>
          <c:dPt>
            <c:idx val="2"/>
            <c:bubble3D val="0"/>
            <c:spPr>
              <a:solidFill>
                <a:schemeClr val="bg1">
                  <a:lumMod val="95000"/>
                </a:schemeClr>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72C-48B1-8B34-7B7B3369F657}"/>
              </c:ext>
            </c:extLst>
          </c:dPt>
          <c:dPt>
            <c:idx val="3"/>
            <c:bubble3D val="0"/>
            <c:spPr>
              <a:solidFill>
                <a:srgbClr val="C00000"/>
              </a:solidFill>
              <a:ln>
                <a:noFill/>
              </a:ln>
              <a:effectLst>
                <a:glow rad="139700">
                  <a:srgbClr val="B98E67">
                    <a:alpha val="40000"/>
                  </a:srgbClr>
                </a:glow>
                <a:outerShdw blurRad="152400" dist="50800" dir="5400000" sx="99000" sy="99000" algn="ctr" rotWithShape="0">
                  <a:srgbClr val="000000">
                    <a:alpha val="96000"/>
                  </a:srgb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72C-48B1-8B34-7B7B3369F657}"/>
              </c:ext>
            </c:extLst>
          </c:dPt>
          <c:dLbls>
            <c:dLbl>
              <c:idx val="1"/>
              <c:layout>
                <c:manualLayout>
                  <c:x val="-5.1779952868011403E-2"/>
                  <c:y val="3.041825095057034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72C-48B1-8B34-7B7B3369F657}"/>
                </c:ext>
              </c:extLst>
            </c:dLbl>
            <c:dLbl>
              <c:idx val="3"/>
              <c:layout>
                <c:manualLayout>
                  <c:x val="5.1779952868011403E-2"/>
                  <c:y val="1.520912547528517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72C-48B1-8B34-7B7B3369F657}"/>
                </c:ext>
              </c:extLst>
            </c:dLbl>
            <c:spPr>
              <a:noFill/>
              <a:ln>
                <a:noFill/>
              </a:ln>
              <a:effectLst/>
            </c:spPr>
            <c:txPr>
              <a:bodyPr rot="0" spcFirstLastPara="1" vertOverflow="ellipsis" vert="horz" wrap="square" anchor="ctr" anchorCtr="1"/>
              <a:lstStyle/>
              <a:p>
                <a:pPr>
                  <a:defRPr sz="1200" b="1" i="0" u="none" strike="noStrike" kern="1200" baseline="0">
                    <a:solidFill>
                      <a:srgbClr val="A6031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table'!$AK$6:$AK$10</c:f>
              <c:strCache>
                <c:ptCount val="4"/>
                <c:pt idx="0">
                  <c:v>تم التسليم</c:v>
                </c:pt>
                <c:pt idx="1">
                  <c:v>فشل التسليم</c:v>
                </c:pt>
                <c:pt idx="2">
                  <c:v>لغى</c:v>
                </c:pt>
                <c:pt idx="3">
                  <c:v>مرفوض </c:v>
                </c:pt>
              </c:strCache>
            </c:strRef>
          </c:cat>
          <c:val>
            <c:numRef>
              <c:f>'pivot table'!$AL$6:$AL$10</c:f>
              <c:numCache>
                <c:formatCode>0.00%</c:formatCode>
                <c:ptCount val="4"/>
                <c:pt idx="0">
                  <c:v>0.86538461538461542</c:v>
                </c:pt>
                <c:pt idx="1">
                  <c:v>2.8846153846153848E-2</c:v>
                </c:pt>
                <c:pt idx="2">
                  <c:v>9.6153846153846159E-2</c:v>
                </c:pt>
                <c:pt idx="3">
                  <c:v>9.6153846153846159E-3</c:v>
                </c:pt>
              </c:numCache>
            </c:numRef>
          </c:val>
          <c:extLst>
            <c:ext xmlns:c16="http://schemas.microsoft.com/office/drawing/2014/chart" uri="{C3380CC4-5D6E-409C-BE32-E72D297353CC}">
              <c16:uniqueId val="{00000008-272C-48B1-8B34-7B7B3369F657}"/>
            </c:ext>
          </c:extLst>
        </c:ser>
        <c:dLbls>
          <c:showLegendKey val="0"/>
          <c:showVal val="0"/>
          <c:showCatName val="0"/>
          <c:showSerName val="0"/>
          <c:showPercent val="1"/>
          <c:showBubbleSize val="0"/>
          <c:showLeaderLines val="1"/>
        </c:dLbls>
        <c:firstSliceAng val="6"/>
        <c:holeSize val="38"/>
      </c:doughnutChart>
      <c:spPr>
        <a:solidFill>
          <a:schemeClr val="accent5">
            <a:lumMod val="50000"/>
          </a:schemeClr>
        </a:solidFill>
        <a:ln>
          <a:noFill/>
        </a:ln>
        <a:effectLst>
          <a:glow rad="127000">
            <a:schemeClr val="bg1"/>
          </a:glow>
          <a:outerShdw dist="50800" dir="5400000" sx="1000" sy="1000" algn="ctr" rotWithShape="0">
            <a:srgbClr val="000000">
              <a:alpha val="46000"/>
            </a:srgbClr>
          </a:outerShdw>
          <a:softEdge rad="1270000"/>
        </a:effectLst>
      </c:spPr>
    </c:plotArea>
    <c:legend>
      <c:legendPos val="r"/>
      <c:layout>
        <c:manualLayout>
          <c:xMode val="edge"/>
          <c:yMode val="edge"/>
          <c:x val="0.77783919946290192"/>
          <c:y val="0.27735257427422327"/>
          <c:w val="0.21661710930201522"/>
          <c:h val="0.39440443990302732"/>
        </c:manualLayout>
      </c:layout>
      <c:overlay val="0"/>
      <c:spPr>
        <a:noFill/>
        <a:ln>
          <a:noFill/>
        </a:ln>
        <a:effectLst/>
      </c:spPr>
      <c:txPr>
        <a:bodyPr rot="0" spcFirstLastPara="1" vertOverflow="ellipsis" vert="horz" wrap="square" anchor="ctr" anchorCtr="1"/>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[ibrahim mohamed.xlsx]pivot table!PivotTable21</c:name>
    <c:fmtId val="10"/>
  </c:pivotSource>
  <c:chart>
    <c:autoTitleDeleted val="1"/>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glow rad="139700">
              <a:schemeClr val="accent2">
                <a:lumMod val="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95000"/>
            </a:schemeClr>
          </a:solidFill>
          <a:ln>
            <a:noFill/>
          </a:ln>
          <a:effectLst>
            <a:glow rad="139700">
              <a:schemeClr val="accent2">
                <a:lumMod val="75000"/>
                <a:alpha val="40000"/>
              </a:schemeClr>
            </a:glow>
          </a:effectLst>
        </c:spPr>
        <c:dLbl>
          <c:idx val="0"/>
          <c:layout>
            <c:manualLayout>
              <c:x val="-0.27009647441984935"/>
              <c:y val="-0.107221037354490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D9C2AD"/>
          </a:solidFill>
          <a:ln>
            <a:noFill/>
          </a:ln>
          <a:effectLst>
            <a:glow rad="139700">
              <a:schemeClr val="accent2">
                <a:lumMod val="75000"/>
                <a:alpha val="40000"/>
              </a:schemeClr>
            </a:glow>
          </a:effectLst>
        </c:spPr>
        <c:dLbl>
          <c:idx val="0"/>
          <c:layout>
            <c:manualLayout>
              <c:x val="0.18006431627989958"/>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glow rad="139700">
              <a:schemeClr val="accent2">
                <a:lumMod val="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lumMod val="95000"/>
            </a:schemeClr>
          </a:solidFill>
          <a:ln>
            <a:noFill/>
          </a:ln>
          <a:effectLst>
            <a:glow rad="139700">
              <a:schemeClr val="accent2">
                <a:lumMod val="75000"/>
                <a:alpha val="40000"/>
              </a:schemeClr>
            </a:glow>
          </a:effectLst>
        </c:spPr>
        <c:dLbl>
          <c:idx val="0"/>
          <c:layout>
            <c:manualLayout>
              <c:x val="-0.27009647441984935"/>
              <c:y val="-0.107221037354490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D9C2AD"/>
          </a:solidFill>
          <a:ln>
            <a:noFill/>
          </a:ln>
          <a:effectLst>
            <a:glow rad="139700">
              <a:schemeClr val="accent2">
                <a:lumMod val="75000"/>
                <a:alpha val="40000"/>
              </a:schemeClr>
            </a:glow>
          </a:effectLst>
        </c:spPr>
        <c:dLbl>
          <c:idx val="0"/>
          <c:layout>
            <c:manualLayout>
              <c:x val="0.18006431627989958"/>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glow rad="139700">
              <a:schemeClr val="accent2">
                <a:lumMod val="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rgbClr val="A6031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1">
              <a:lumMod val="95000"/>
            </a:schemeClr>
          </a:solidFill>
          <a:ln>
            <a:noFill/>
          </a:ln>
          <a:effectLst>
            <a:glow rad="139700">
              <a:schemeClr val="accent5">
                <a:lumMod val="50000"/>
                <a:alpha val="40000"/>
              </a:schemeClr>
            </a:glow>
          </a:effectLst>
        </c:spPr>
        <c:dLbl>
          <c:idx val="0"/>
          <c:layout>
            <c:manualLayout>
              <c:x val="-0.17866058610888502"/>
              <c:y val="-0.26042434104526219"/>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rgbClr val="A6031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270534854625855"/>
                  <c:h val="0.32943391332136179"/>
                </c:manualLayout>
              </c15:layout>
            </c:ext>
          </c:extLst>
        </c:dLbl>
      </c:pivotFmt>
      <c:pivotFmt>
        <c:idx val="14"/>
        <c:spPr>
          <a:solidFill>
            <a:srgbClr val="C7A587"/>
          </a:solidFill>
          <a:ln>
            <a:noFill/>
          </a:ln>
          <a:effectLst>
            <a:glow rad="139700">
              <a:schemeClr val="accent2">
                <a:lumMod val="75000"/>
                <a:alpha val="40000"/>
              </a:schemeClr>
            </a:glow>
          </a:effectLst>
        </c:spPr>
        <c:dLbl>
          <c:idx val="0"/>
          <c:layout>
            <c:manualLayout>
              <c:x val="0.15168083349508429"/>
              <c:y val="-0.1405052532305373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rgbClr val="A6031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557404131782602E-2"/>
          <c:y val="0"/>
          <c:w val="0.76974318744739545"/>
          <c:h val="1"/>
        </c:manualLayout>
      </c:layout>
      <c:pieChart>
        <c:varyColors val="1"/>
        <c:ser>
          <c:idx val="0"/>
          <c:order val="0"/>
          <c:tx>
            <c:strRef>
              <c:f>'pivot table'!$AG$5</c:f>
              <c:strCache>
                <c:ptCount val="1"/>
                <c:pt idx="0">
                  <c:v>Total</c:v>
                </c:pt>
              </c:strCache>
            </c:strRef>
          </c:tx>
          <c:spPr>
            <a:effectLst>
              <a:glow rad="139700">
                <a:schemeClr val="accent2">
                  <a:lumMod val="75000"/>
                  <a:alpha val="40000"/>
                </a:schemeClr>
              </a:glow>
            </a:effectLst>
          </c:spPr>
          <c:dPt>
            <c:idx val="0"/>
            <c:bubble3D val="0"/>
            <c:spPr>
              <a:solidFill>
                <a:schemeClr val="bg1">
                  <a:lumMod val="95000"/>
                </a:schemeClr>
              </a:solidFill>
              <a:ln>
                <a:noFill/>
              </a:ln>
              <a:effectLst>
                <a:glow rad="139700">
                  <a:schemeClr val="accent5">
                    <a:lumMod val="50000"/>
                    <a:alpha val="40000"/>
                  </a:schemeClr>
                </a:glow>
              </a:effectLst>
            </c:spPr>
            <c:extLst>
              <c:ext xmlns:c16="http://schemas.microsoft.com/office/drawing/2014/chart" uri="{C3380CC4-5D6E-409C-BE32-E72D297353CC}">
                <c16:uniqueId val="{00000001-A987-419F-BA02-8BE09F9AAC43}"/>
              </c:ext>
            </c:extLst>
          </c:dPt>
          <c:dPt>
            <c:idx val="1"/>
            <c:bubble3D val="0"/>
            <c:spPr>
              <a:solidFill>
                <a:srgbClr val="C7A587"/>
              </a:solidFill>
              <a:ln>
                <a:noFill/>
              </a:ln>
              <a:effectLst>
                <a:glow rad="139700">
                  <a:schemeClr val="accent2">
                    <a:lumMod val="75000"/>
                    <a:alpha val="40000"/>
                  </a:schemeClr>
                </a:glow>
              </a:effectLst>
            </c:spPr>
            <c:extLst>
              <c:ext xmlns:c16="http://schemas.microsoft.com/office/drawing/2014/chart" uri="{C3380CC4-5D6E-409C-BE32-E72D297353CC}">
                <c16:uniqueId val="{00000003-A987-419F-BA02-8BE09F9AAC43}"/>
              </c:ext>
            </c:extLst>
          </c:dPt>
          <c:dLbls>
            <c:dLbl>
              <c:idx val="0"/>
              <c:layout>
                <c:manualLayout>
                  <c:x val="-0.17866058610888502"/>
                  <c:y val="-0.26042434104526219"/>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rgbClr val="A6031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270534854625855"/>
                      <c:h val="0.32943391332136179"/>
                    </c:manualLayout>
                  </c15:layout>
                </c:ext>
                <c:ext xmlns:c16="http://schemas.microsoft.com/office/drawing/2014/chart" uri="{C3380CC4-5D6E-409C-BE32-E72D297353CC}">
                  <c16:uniqueId val="{00000001-A987-419F-BA02-8BE09F9AAC43}"/>
                </c:ext>
              </c:extLst>
            </c:dLbl>
            <c:dLbl>
              <c:idx val="1"/>
              <c:layout>
                <c:manualLayout>
                  <c:x val="0.15168083349508429"/>
                  <c:y val="-0.1405052532305373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rgbClr val="A6031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87-419F-BA02-8BE09F9AAC43}"/>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rgbClr val="A6031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table'!$AF$6:$AF$8</c:f>
              <c:strCache>
                <c:ptCount val="2"/>
                <c:pt idx="0">
                  <c:v>في الموعد</c:v>
                </c:pt>
                <c:pt idx="1">
                  <c:v> متأخر</c:v>
                </c:pt>
              </c:strCache>
            </c:strRef>
          </c:cat>
          <c:val>
            <c:numRef>
              <c:f>'pivot table'!$AG$6:$AG$8</c:f>
              <c:numCache>
                <c:formatCode>General</c:formatCode>
                <c:ptCount val="2"/>
                <c:pt idx="0">
                  <c:v>56</c:v>
                </c:pt>
                <c:pt idx="1">
                  <c:v>49</c:v>
                </c:pt>
              </c:numCache>
            </c:numRef>
          </c:val>
          <c:extLst>
            <c:ext xmlns:c16="http://schemas.microsoft.com/office/drawing/2014/chart" uri="{C3380CC4-5D6E-409C-BE32-E72D297353CC}">
              <c16:uniqueId val="{00000004-A987-419F-BA02-8BE09F9AAC43}"/>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39700">
        <a:srgbClr val="B98E67">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11</xdr:col>
      <xdr:colOff>157690</xdr:colOff>
      <xdr:row>0</xdr:row>
      <xdr:rowOff>65618</xdr:rowOff>
    </xdr:from>
    <xdr:to>
      <xdr:col>21</xdr:col>
      <xdr:colOff>262466</xdr:colOff>
      <xdr:row>3</xdr:row>
      <xdr:rowOff>141818</xdr:rowOff>
    </xdr:to>
    <xdr:sp macro="" textlink="">
      <xdr:nvSpPr>
        <xdr:cNvPr id="28" name="Rectangle: Rounded Corners 27">
          <a:extLst>
            <a:ext uri="{FF2B5EF4-FFF2-40B4-BE49-F238E27FC236}">
              <a16:creationId xmlns:a16="http://schemas.microsoft.com/office/drawing/2014/main" id="{717A86E0-A109-5DE4-CCAF-162D91856806}"/>
            </a:ext>
          </a:extLst>
        </xdr:cNvPr>
        <xdr:cNvSpPr/>
      </xdr:nvSpPr>
      <xdr:spPr>
        <a:xfrm>
          <a:off x="6909857" y="65618"/>
          <a:ext cx="6243109" cy="647700"/>
        </a:xfrm>
        <a:prstGeom prst="roundRect">
          <a:avLst/>
        </a:prstGeom>
        <a:solidFill>
          <a:srgbClr val="C7A587"/>
        </a:solidFill>
        <a:ln>
          <a:noFill/>
        </a:ln>
        <a:effectLst>
          <a:glow rad="139700">
            <a:srgbClr val="B98E67">
              <a:alpha val="40000"/>
            </a:srgb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prst="artDeco"/>
        </a:sp3d>
      </xdr:spPr>
      <xdr:style>
        <a:lnRef idx="2">
          <a:schemeClr val="accent3"/>
        </a:lnRef>
        <a:fillRef idx="1001">
          <a:schemeClr val="lt1"/>
        </a:fillRef>
        <a:effectRef idx="0">
          <a:schemeClr val="accent3"/>
        </a:effectRef>
        <a:fontRef idx="minor">
          <a:schemeClr val="dk1"/>
        </a:fontRef>
      </xdr:style>
      <xdr:txBody>
        <a:bodyPr vertOverflow="clip" horzOverflow="clip" rtlCol="0" anchor="ctr"/>
        <a:lstStyle/>
        <a:p>
          <a:pPr algn="ctr"/>
          <a:r>
            <a:rPr lang="ar-EG" sz="2800" b="1" cap="none" spc="0">
              <a:ln w="0"/>
              <a:solidFill>
                <a:schemeClr val="bg1"/>
              </a:solidFill>
              <a:effectLst>
                <a:outerShdw blurRad="38100" dist="19050" dir="2700000" algn="tl" rotWithShape="0">
                  <a:schemeClr val="dk1">
                    <a:alpha val="40000"/>
                  </a:schemeClr>
                </a:outerShdw>
              </a:effectLst>
            </a:rPr>
            <a:t>لوحة تحكم مبيعات ميسو</a:t>
          </a:r>
          <a:endParaRPr lang="en-US" sz="28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5</xdr:col>
      <xdr:colOff>371476</xdr:colOff>
      <xdr:row>4</xdr:row>
      <xdr:rowOff>123824</xdr:rowOff>
    </xdr:from>
    <xdr:to>
      <xdr:col>18</xdr:col>
      <xdr:colOff>390525</xdr:colOff>
      <xdr:row>17</xdr:row>
      <xdr:rowOff>9525</xdr:rowOff>
    </xdr:to>
    <xdr:sp macro="" textlink="">
      <xdr:nvSpPr>
        <xdr:cNvPr id="31" name="Rectangle: Rounded Corners 30">
          <a:extLst>
            <a:ext uri="{FF2B5EF4-FFF2-40B4-BE49-F238E27FC236}">
              <a16:creationId xmlns:a16="http://schemas.microsoft.com/office/drawing/2014/main" id="{2BB063C3-73AD-497A-A3E9-787068AE08E6}"/>
            </a:ext>
          </a:extLst>
        </xdr:cNvPr>
        <xdr:cNvSpPr/>
      </xdr:nvSpPr>
      <xdr:spPr>
        <a:xfrm>
          <a:off x="3419476" y="885824"/>
          <a:ext cx="7943849" cy="2362201"/>
        </a:xfrm>
        <a:prstGeom prst="roundRect">
          <a:avLst/>
        </a:prstGeom>
        <a:noFill/>
        <a:ln>
          <a:noFill/>
        </a:ln>
        <a:effectLst>
          <a:glow rad="127000">
            <a:schemeClr val="accent2">
              <a:lumMod val="7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28</xdr:col>
      <xdr:colOff>572094</xdr:colOff>
      <xdr:row>1</xdr:row>
      <xdr:rowOff>142520</xdr:rowOff>
    </xdr:from>
    <xdr:to>
      <xdr:col>31</xdr:col>
      <xdr:colOff>353019</xdr:colOff>
      <xdr:row>8</xdr:row>
      <xdr:rowOff>113943</xdr:rowOff>
    </xdr:to>
    <xdr:pic>
      <xdr:nvPicPr>
        <xdr:cNvPr id="41" name="Picture 40">
          <a:extLst>
            <a:ext uri="{FF2B5EF4-FFF2-40B4-BE49-F238E27FC236}">
              <a16:creationId xmlns:a16="http://schemas.microsoft.com/office/drawing/2014/main" id="{03D4C1E0-117C-3DC3-0F6C-A895E5CD7E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52881" y="335160"/>
          <a:ext cx="1611009" cy="1319907"/>
        </a:xfrm>
        <a:prstGeom prst="roundRect">
          <a:avLst>
            <a:gd name="adj" fmla="val 16667"/>
          </a:avLst>
        </a:prstGeom>
        <a:solidFill>
          <a:srgbClr val="D9C2AD"/>
        </a:solidFill>
        <a:ln>
          <a:solidFill>
            <a:srgbClr val="D9C2AD"/>
          </a:solidFill>
        </a:ln>
        <a:effectLst>
          <a:glow rad="139700">
            <a:srgbClr val="B98E67">
              <a:alpha val="40000"/>
            </a:srgbClr>
          </a:glow>
        </a:effectLst>
      </xdr:spPr>
    </xdr:pic>
    <xdr:clientData/>
  </xdr:twoCellAnchor>
  <xdr:twoCellAnchor>
    <xdr:from>
      <xdr:col>23</xdr:col>
      <xdr:colOff>319617</xdr:colOff>
      <xdr:row>0</xdr:row>
      <xdr:rowOff>77259</xdr:rowOff>
    </xdr:from>
    <xdr:to>
      <xdr:col>26</xdr:col>
      <xdr:colOff>510117</xdr:colOff>
      <xdr:row>2</xdr:row>
      <xdr:rowOff>182034</xdr:rowOff>
    </xdr:to>
    <xdr:sp macro="" textlink="">
      <xdr:nvSpPr>
        <xdr:cNvPr id="47" name="TextBox 46">
          <a:extLst>
            <a:ext uri="{FF2B5EF4-FFF2-40B4-BE49-F238E27FC236}">
              <a16:creationId xmlns:a16="http://schemas.microsoft.com/office/drawing/2014/main" id="{D997A1B9-D658-4028-B8F3-A483C8729150}"/>
            </a:ext>
          </a:extLst>
        </xdr:cNvPr>
        <xdr:cNvSpPr txBox="1"/>
      </xdr:nvSpPr>
      <xdr:spPr>
        <a:xfrm>
          <a:off x="14437784" y="77259"/>
          <a:ext cx="2032000" cy="485775"/>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ar-EG" sz="2400" b="1">
            <a:solidFill>
              <a:schemeClr val="bg1"/>
            </a:solidFill>
            <a:latin typeface="+mn-lt"/>
            <a:ea typeface="+mn-ea"/>
            <a:cs typeface="+mn-cs"/>
          </a:endParaRPr>
        </a:p>
      </xdr:txBody>
    </xdr:sp>
    <xdr:clientData/>
  </xdr:twoCellAnchor>
  <xdr:twoCellAnchor>
    <xdr:from>
      <xdr:col>5</xdr:col>
      <xdr:colOff>317500</xdr:colOff>
      <xdr:row>0</xdr:row>
      <xdr:rowOff>127000</xdr:rowOff>
    </xdr:from>
    <xdr:to>
      <xdr:col>9</xdr:col>
      <xdr:colOff>211667</xdr:colOff>
      <xdr:row>3</xdr:row>
      <xdr:rowOff>41275</xdr:rowOff>
    </xdr:to>
    <xdr:sp macro="" textlink="">
      <xdr:nvSpPr>
        <xdr:cNvPr id="48" name="TextBox 47">
          <a:extLst>
            <a:ext uri="{FF2B5EF4-FFF2-40B4-BE49-F238E27FC236}">
              <a16:creationId xmlns:a16="http://schemas.microsoft.com/office/drawing/2014/main" id="{A24C9A00-0DD1-408D-907B-79CD0AE964E7}"/>
            </a:ext>
          </a:extLst>
        </xdr:cNvPr>
        <xdr:cNvSpPr txBox="1"/>
      </xdr:nvSpPr>
      <xdr:spPr>
        <a:xfrm>
          <a:off x="3386667" y="127000"/>
          <a:ext cx="2349500" cy="485775"/>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400" b="1">
              <a:solidFill>
                <a:schemeClr val="bg1"/>
              </a:solidFill>
              <a:latin typeface="+mn-lt"/>
              <a:ea typeface="+mn-ea"/>
              <a:cs typeface="+mn-cs"/>
            </a:rPr>
            <a:t>نسبة الطلبات المسلمة</a:t>
          </a:r>
        </a:p>
      </xdr:txBody>
    </xdr:sp>
    <xdr:clientData/>
  </xdr:twoCellAnchor>
  <xdr:twoCellAnchor>
    <xdr:from>
      <xdr:col>0</xdr:col>
      <xdr:colOff>179916</xdr:colOff>
      <xdr:row>3</xdr:row>
      <xdr:rowOff>1</xdr:rowOff>
    </xdr:from>
    <xdr:to>
      <xdr:col>4</xdr:col>
      <xdr:colOff>211666</xdr:colOff>
      <xdr:row>42</xdr:row>
      <xdr:rowOff>137584</xdr:rowOff>
    </xdr:to>
    <xdr:sp macro="" textlink="">
      <xdr:nvSpPr>
        <xdr:cNvPr id="62" name="Rectangle: Rounded Corners 61">
          <a:extLst>
            <a:ext uri="{FF2B5EF4-FFF2-40B4-BE49-F238E27FC236}">
              <a16:creationId xmlns:a16="http://schemas.microsoft.com/office/drawing/2014/main" id="{D3B74F50-FE47-1544-514B-69C53EDA4BBB}"/>
            </a:ext>
          </a:extLst>
        </xdr:cNvPr>
        <xdr:cNvSpPr/>
      </xdr:nvSpPr>
      <xdr:spPr>
        <a:xfrm>
          <a:off x="179916" y="571501"/>
          <a:ext cx="2487083" cy="7577666"/>
        </a:xfrm>
        <a:prstGeom prst="roundRect">
          <a:avLst/>
        </a:prstGeom>
        <a:solidFill>
          <a:srgbClr val="182540"/>
        </a:solidFill>
        <a:ln>
          <a:noFill/>
        </a:ln>
        <a:effectLst>
          <a:glow rad="139700">
            <a:srgbClr val="C7A587">
              <a:alpha val="40000"/>
            </a:srgb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9C2AD"/>
            </a:solidFill>
          </a:endParaRPr>
        </a:p>
      </xdr:txBody>
    </xdr:sp>
    <xdr:clientData/>
  </xdr:twoCellAnchor>
  <xdr:twoCellAnchor editAs="oneCell">
    <xdr:from>
      <xdr:col>0</xdr:col>
      <xdr:colOff>295739</xdr:colOff>
      <xdr:row>4</xdr:row>
      <xdr:rowOff>125691</xdr:rowOff>
    </xdr:from>
    <xdr:to>
      <xdr:col>4</xdr:col>
      <xdr:colOff>73489</xdr:colOff>
      <xdr:row>16</xdr:row>
      <xdr:rowOff>180750</xdr:rowOff>
    </xdr:to>
    <mc:AlternateContent xmlns:mc="http://schemas.openxmlformats.org/markup-compatibility/2006" xmlns:a14="http://schemas.microsoft.com/office/drawing/2010/main">
      <mc:Choice Requires="a14">
        <xdr:graphicFrame macro="">
          <xdr:nvGraphicFramePr>
            <xdr:cNvPr id="6144" name="اسم المنتج">
              <a:extLst>
                <a:ext uri="{FF2B5EF4-FFF2-40B4-BE49-F238E27FC236}">
                  <a16:creationId xmlns:a16="http://schemas.microsoft.com/office/drawing/2014/main" id="{1962D3BC-1551-4117-BC2C-341CB2C76B99}"/>
                </a:ext>
              </a:extLst>
            </xdr:cNvPr>
            <xdr:cNvGraphicFramePr/>
          </xdr:nvGraphicFramePr>
          <xdr:xfrm>
            <a:off x="0" y="0"/>
            <a:ext cx="0" cy="0"/>
          </xdr:xfrm>
          <a:graphic>
            <a:graphicData uri="http://schemas.microsoft.com/office/drawing/2010/slicer">
              <sle:slicer xmlns:sle="http://schemas.microsoft.com/office/drawing/2010/slicer" name="اسم المنتج"/>
            </a:graphicData>
          </a:graphic>
        </xdr:graphicFrame>
      </mc:Choice>
      <mc:Fallback xmlns="">
        <xdr:sp macro="" textlink="">
          <xdr:nvSpPr>
            <xdr:cNvPr id="0" name=""/>
            <xdr:cNvSpPr>
              <a:spLocks noTextEdit="1"/>
            </xdr:cNvSpPr>
          </xdr:nvSpPr>
          <xdr:spPr>
            <a:xfrm>
              <a:off x="295739" y="887691"/>
              <a:ext cx="2233083" cy="23516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281826</xdr:colOff>
      <xdr:row>17</xdr:row>
      <xdr:rowOff>147574</xdr:rowOff>
    </xdr:from>
    <xdr:to>
      <xdr:col>4</xdr:col>
      <xdr:colOff>59576</xdr:colOff>
      <xdr:row>23</xdr:row>
      <xdr:rowOff>84078</xdr:rowOff>
    </xdr:to>
    <mc:AlternateContent xmlns:mc="http://schemas.openxmlformats.org/markup-compatibility/2006" xmlns:a14="http://schemas.microsoft.com/office/drawing/2010/main">
      <mc:Choice Requires="a14">
        <xdr:graphicFrame macro="">
          <xdr:nvGraphicFramePr>
            <xdr:cNvPr id="6146" name="حاله التسليم">
              <a:extLst>
                <a:ext uri="{FF2B5EF4-FFF2-40B4-BE49-F238E27FC236}">
                  <a16:creationId xmlns:a16="http://schemas.microsoft.com/office/drawing/2014/main" id="{D868AC55-55B6-46D0-B611-9CF477A102AE}"/>
                </a:ext>
              </a:extLst>
            </xdr:cNvPr>
            <xdr:cNvGraphicFramePr/>
          </xdr:nvGraphicFramePr>
          <xdr:xfrm>
            <a:off x="0" y="0"/>
            <a:ext cx="0" cy="0"/>
          </xdr:xfrm>
          <a:graphic>
            <a:graphicData uri="http://schemas.microsoft.com/office/drawing/2010/slicer">
              <sle:slicer xmlns:sle="http://schemas.microsoft.com/office/drawing/2010/slicer" name="حاله التسليم"/>
            </a:graphicData>
          </a:graphic>
        </xdr:graphicFrame>
      </mc:Choice>
      <mc:Fallback xmlns="">
        <xdr:sp macro="" textlink="">
          <xdr:nvSpPr>
            <xdr:cNvPr id="0" name=""/>
            <xdr:cNvSpPr>
              <a:spLocks noTextEdit="1"/>
            </xdr:cNvSpPr>
          </xdr:nvSpPr>
          <xdr:spPr>
            <a:xfrm>
              <a:off x="281826" y="3396657"/>
              <a:ext cx="2233083" cy="1079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246746</xdr:colOff>
      <xdr:row>23</xdr:row>
      <xdr:rowOff>189787</xdr:rowOff>
    </xdr:from>
    <xdr:to>
      <xdr:col>4</xdr:col>
      <xdr:colOff>45663</xdr:colOff>
      <xdr:row>29</xdr:row>
      <xdr:rowOff>149595</xdr:rowOff>
    </xdr:to>
    <mc:AlternateContent xmlns:mc="http://schemas.openxmlformats.org/markup-compatibility/2006" xmlns:a14="http://schemas.microsoft.com/office/drawing/2010/main">
      <mc:Choice Requires="a14">
        <xdr:graphicFrame macro="">
          <xdr:nvGraphicFramePr>
            <xdr:cNvPr id="6147" name="نوع العميل">
              <a:extLst>
                <a:ext uri="{FF2B5EF4-FFF2-40B4-BE49-F238E27FC236}">
                  <a16:creationId xmlns:a16="http://schemas.microsoft.com/office/drawing/2014/main" id="{3A2C66F5-0BF2-4E72-A6D9-781DDA3B25F4}"/>
                </a:ext>
              </a:extLst>
            </xdr:cNvPr>
            <xdr:cNvGraphicFramePr/>
          </xdr:nvGraphicFramePr>
          <xdr:xfrm>
            <a:off x="0" y="0"/>
            <a:ext cx="0" cy="0"/>
          </xdr:xfrm>
          <a:graphic>
            <a:graphicData uri="http://schemas.microsoft.com/office/drawing/2010/slicer">
              <sle:slicer xmlns:sle="http://schemas.microsoft.com/office/drawing/2010/slicer" name="نوع العميل"/>
            </a:graphicData>
          </a:graphic>
        </xdr:graphicFrame>
      </mc:Choice>
      <mc:Fallback xmlns="">
        <xdr:sp macro="" textlink="">
          <xdr:nvSpPr>
            <xdr:cNvPr id="0" name=""/>
            <xdr:cNvSpPr>
              <a:spLocks noTextEdit="1"/>
            </xdr:cNvSpPr>
          </xdr:nvSpPr>
          <xdr:spPr>
            <a:xfrm>
              <a:off x="246746" y="4581870"/>
              <a:ext cx="2254250" cy="1102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510330</xdr:colOff>
      <xdr:row>25</xdr:row>
      <xdr:rowOff>10109</xdr:rowOff>
    </xdr:from>
    <xdr:to>
      <xdr:col>15</xdr:col>
      <xdr:colOff>569596</xdr:colOff>
      <xdr:row>44</xdr:row>
      <xdr:rowOff>10108</xdr:rowOff>
    </xdr:to>
    <xdr:sp macro="" textlink="">
      <xdr:nvSpPr>
        <xdr:cNvPr id="6148" name="Rectangle: Rounded Corners 6147">
          <a:extLst>
            <a:ext uri="{FF2B5EF4-FFF2-40B4-BE49-F238E27FC236}">
              <a16:creationId xmlns:a16="http://schemas.microsoft.com/office/drawing/2014/main" id="{70C7D417-A816-454D-85FE-0885DBF8FAE4}"/>
            </a:ext>
          </a:extLst>
        </xdr:cNvPr>
        <xdr:cNvSpPr/>
      </xdr:nvSpPr>
      <xdr:spPr>
        <a:xfrm>
          <a:off x="2965663" y="4783192"/>
          <a:ext cx="6811433" cy="3619499"/>
        </a:xfrm>
        <a:prstGeom prst="roundRect">
          <a:avLst/>
        </a:prstGeom>
        <a:solidFill>
          <a:srgbClr val="182540"/>
        </a:solidFill>
        <a:ln>
          <a:noFill/>
        </a:ln>
        <a:effectLst>
          <a:glow rad="139700">
            <a:srgbClr val="C7A587">
              <a:alpha val="40000"/>
            </a:srgb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9C2AD"/>
            </a:solidFill>
          </a:endParaRPr>
        </a:p>
      </xdr:txBody>
    </xdr:sp>
    <xdr:clientData/>
  </xdr:twoCellAnchor>
  <xdr:twoCellAnchor>
    <xdr:from>
      <xdr:col>4</xdr:col>
      <xdr:colOff>438794</xdr:colOff>
      <xdr:row>25</xdr:row>
      <xdr:rowOff>21405</xdr:rowOff>
    </xdr:from>
    <xdr:to>
      <xdr:col>15</xdr:col>
      <xdr:colOff>312529</xdr:colOff>
      <xdr:row>43</xdr:row>
      <xdr:rowOff>107022</xdr:rowOff>
    </xdr:to>
    <xdr:graphicFrame macro="">
      <xdr:nvGraphicFramePr>
        <xdr:cNvPr id="6150" name="Chart 6149">
          <a:extLst>
            <a:ext uri="{FF2B5EF4-FFF2-40B4-BE49-F238E27FC236}">
              <a16:creationId xmlns:a16="http://schemas.microsoft.com/office/drawing/2014/main" id="{67FE3231-413A-4E66-A306-11C60FEF6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210715</xdr:colOff>
      <xdr:row>25</xdr:row>
      <xdr:rowOff>32584</xdr:rowOff>
    </xdr:from>
    <xdr:to>
      <xdr:col>27</xdr:col>
      <xdr:colOff>269981</xdr:colOff>
      <xdr:row>44</xdr:row>
      <xdr:rowOff>32583</xdr:rowOff>
    </xdr:to>
    <xdr:sp macro="" textlink="">
      <xdr:nvSpPr>
        <xdr:cNvPr id="6151" name="Rectangle: Rounded Corners 6150">
          <a:extLst>
            <a:ext uri="{FF2B5EF4-FFF2-40B4-BE49-F238E27FC236}">
              <a16:creationId xmlns:a16="http://schemas.microsoft.com/office/drawing/2014/main" id="{9F4F8C77-3C69-4747-863A-AF28987419EF}"/>
            </a:ext>
          </a:extLst>
        </xdr:cNvPr>
        <xdr:cNvSpPr/>
      </xdr:nvSpPr>
      <xdr:spPr>
        <a:xfrm>
          <a:off x="10032048" y="4805667"/>
          <a:ext cx="6811433" cy="3619499"/>
        </a:xfrm>
        <a:prstGeom prst="roundRect">
          <a:avLst/>
        </a:prstGeom>
        <a:solidFill>
          <a:srgbClr val="182540"/>
        </a:solidFill>
        <a:ln>
          <a:noFill/>
        </a:ln>
        <a:effectLst>
          <a:glow rad="139700">
            <a:srgbClr val="C7A587">
              <a:alpha val="40000"/>
            </a:srgb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9C2AD"/>
            </a:solidFill>
          </a:endParaRPr>
        </a:p>
      </xdr:txBody>
    </xdr:sp>
    <xdr:clientData/>
  </xdr:twoCellAnchor>
  <xdr:twoCellAnchor>
    <xdr:from>
      <xdr:col>16</xdr:col>
      <xdr:colOff>422740</xdr:colOff>
      <xdr:row>26</xdr:row>
      <xdr:rowOff>30798</xdr:rowOff>
    </xdr:from>
    <xdr:to>
      <xdr:col>27</xdr:col>
      <xdr:colOff>316906</xdr:colOff>
      <xdr:row>43</xdr:row>
      <xdr:rowOff>118663</xdr:rowOff>
    </xdr:to>
    <xdr:graphicFrame macro="">
      <xdr:nvGraphicFramePr>
        <xdr:cNvPr id="6152" name="Chart 6151">
          <a:extLst>
            <a:ext uri="{FF2B5EF4-FFF2-40B4-BE49-F238E27FC236}">
              <a16:creationId xmlns:a16="http://schemas.microsoft.com/office/drawing/2014/main" id="{F7DC212A-BC55-4C23-AADE-A3E9C0601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95013</xdr:colOff>
      <xdr:row>5</xdr:row>
      <xdr:rowOff>170403</xdr:rowOff>
    </xdr:from>
    <xdr:to>
      <xdr:col>22</xdr:col>
      <xdr:colOff>327846</xdr:colOff>
      <xdr:row>21</xdr:row>
      <xdr:rowOff>32106</xdr:rowOff>
    </xdr:to>
    <xdr:sp macro="" textlink="">
      <xdr:nvSpPr>
        <xdr:cNvPr id="6153" name="Rectangle: Rounded Corners 6152">
          <a:extLst>
            <a:ext uri="{FF2B5EF4-FFF2-40B4-BE49-F238E27FC236}">
              <a16:creationId xmlns:a16="http://schemas.microsoft.com/office/drawing/2014/main" id="{1C17F0C7-ACA0-4F2E-931B-B46458104E8B}"/>
            </a:ext>
          </a:extLst>
        </xdr:cNvPr>
        <xdr:cNvSpPr/>
      </xdr:nvSpPr>
      <xdr:spPr>
        <a:xfrm>
          <a:off x="6195294" y="1133605"/>
          <a:ext cx="7553170" cy="2954653"/>
        </a:xfrm>
        <a:prstGeom prst="roundRect">
          <a:avLst/>
        </a:prstGeom>
        <a:solidFill>
          <a:srgbClr val="182540"/>
        </a:solidFill>
        <a:ln>
          <a:noFill/>
        </a:ln>
        <a:effectLst>
          <a:glow rad="139700">
            <a:srgbClr val="C7A587">
              <a:alpha val="40000"/>
            </a:srgb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9C2AD"/>
            </a:solidFill>
          </a:endParaRPr>
        </a:p>
      </xdr:txBody>
    </xdr:sp>
    <xdr:clientData/>
  </xdr:twoCellAnchor>
  <xdr:twoCellAnchor>
    <xdr:from>
      <xdr:col>9</xdr:col>
      <xdr:colOff>550691</xdr:colOff>
      <xdr:row>7</xdr:row>
      <xdr:rowOff>190976</xdr:rowOff>
    </xdr:from>
    <xdr:to>
      <xdr:col>22</xdr:col>
      <xdr:colOff>341141</xdr:colOff>
      <xdr:row>19</xdr:row>
      <xdr:rowOff>171236</xdr:rowOff>
    </xdr:to>
    <xdr:graphicFrame macro="">
      <xdr:nvGraphicFramePr>
        <xdr:cNvPr id="6154" name="Chart 6153">
          <a:extLst>
            <a:ext uri="{FF2B5EF4-FFF2-40B4-BE49-F238E27FC236}">
              <a16:creationId xmlns:a16="http://schemas.microsoft.com/office/drawing/2014/main" id="{18DED257-4E6E-4286-877E-1D0E2E74C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10584</xdr:colOff>
      <xdr:row>4</xdr:row>
      <xdr:rowOff>42334</xdr:rowOff>
    </xdr:from>
    <xdr:to>
      <xdr:col>9</xdr:col>
      <xdr:colOff>201084</xdr:colOff>
      <xdr:row>17</xdr:row>
      <xdr:rowOff>127001</xdr:rowOff>
    </xdr:to>
    <xdr:sp macro="" textlink="">
      <xdr:nvSpPr>
        <xdr:cNvPr id="6155" name="Oval 6154">
          <a:extLst>
            <a:ext uri="{FF2B5EF4-FFF2-40B4-BE49-F238E27FC236}">
              <a16:creationId xmlns:a16="http://schemas.microsoft.com/office/drawing/2014/main" id="{9F9F92BC-02A6-5656-E679-E9F4B22181E3}"/>
            </a:ext>
          </a:extLst>
        </xdr:cNvPr>
        <xdr:cNvSpPr/>
      </xdr:nvSpPr>
      <xdr:spPr>
        <a:xfrm>
          <a:off x="3079751" y="804334"/>
          <a:ext cx="2645833" cy="2571750"/>
        </a:xfrm>
        <a:prstGeom prst="ellipse">
          <a:avLst/>
        </a:prstGeom>
        <a:solidFill>
          <a:schemeClr val="accent5">
            <a:lumMod val="50000"/>
          </a:schemeClr>
        </a:solidFill>
        <a:ln>
          <a:noFill/>
        </a:ln>
        <a:effectLst>
          <a:glow rad="139700">
            <a:srgbClr val="C7A587">
              <a:alpha val="40000"/>
            </a:srgb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D9C2AD"/>
            </a:solidFill>
            <a:latin typeface="+mn-lt"/>
            <a:ea typeface="+mn-ea"/>
            <a:cs typeface="+mn-cs"/>
          </a:endParaRPr>
        </a:p>
      </xdr:txBody>
    </xdr:sp>
    <xdr:clientData/>
  </xdr:twoCellAnchor>
  <xdr:twoCellAnchor>
    <xdr:from>
      <xdr:col>5</xdr:col>
      <xdr:colOff>63501</xdr:colOff>
      <xdr:row>4</xdr:row>
      <xdr:rowOff>31750</xdr:rowOff>
    </xdr:from>
    <xdr:to>
      <xdr:col>10</xdr:col>
      <xdr:colOff>34927</xdr:colOff>
      <xdr:row>17</xdr:row>
      <xdr:rowOff>127000</xdr:rowOff>
    </xdr:to>
    <xdr:graphicFrame macro="">
      <xdr:nvGraphicFramePr>
        <xdr:cNvPr id="6156" name="Chart 6155">
          <a:extLst>
            <a:ext uri="{FF2B5EF4-FFF2-40B4-BE49-F238E27FC236}">
              <a16:creationId xmlns:a16="http://schemas.microsoft.com/office/drawing/2014/main" id="{6077B16A-CFC0-4B48-BFC2-BA9884F19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190499</xdr:colOff>
      <xdr:row>4</xdr:row>
      <xdr:rowOff>74083</xdr:rowOff>
    </xdr:from>
    <xdr:to>
      <xdr:col>27</xdr:col>
      <xdr:colOff>380999</xdr:colOff>
      <xdr:row>17</xdr:row>
      <xdr:rowOff>158750</xdr:rowOff>
    </xdr:to>
    <xdr:sp macro="" textlink="">
      <xdr:nvSpPr>
        <xdr:cNvPr id="6157" name="Oval 6156">
          <a:extLst>
            <a:ext uri="{FF2B5EF4-FFF2-40B4-BE49-F238E27FC236}">
              <a16:creationId xmlns:a16="http://schemas.microsoft.com/office/drawing/2014/main" id="{168EFF9B-E275-4823-A27B-5A4762ADC9B7}"/>
            </a:ext>
          </a:extLst>
        </xdr:cNvPr>
        <xdr:cNvSpPr/>
      </xdr:nvSpPr>
      <xdr:spPr>
        <a:xfrm>
          <a:off x="14308666" y="836083"/>
          <a:ext cx="2645833" cy="2571750"/>
        </a:xfrm>
        <a:prstGeom prst="ellipse">
          <a:avLst/>
        </a:prstGeom>
        <a:solidFill>
          <a:schemeClr val="accent5">
            <a:lumMod val="50000"/>
          </a:schemeClr>
        </a:solidFill>
        <a:ln>
          <a:noFill/>
        </a:ln>
        <a:effectLst>
          <a:glow rad="139700">
            <a:srgbClr val="C7A587">
              <a:alpha val="40000"/>
            </a:srgb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D9C2AD"/>
            </a:solidFill>
            <a:latin typeface="+mn-lt"/>
            <a:ea typeface="+mn-ea"/>
            <a:cs typeface="+mn-cs"/>
          </a:endParaRPr>
        </a:p>
      </xdr:txBody>
    </xdr:sp>
    <xdr:clientData/>
  </xdr:twoCellAnchor>
  <xdr:twoCellAnchor>
    <xdr:from>
      <xdr:col>23</xdr:col>
      <xdr:colOff>222251</xdr:colOff>
      <xdr:row>5</xdr:row>
      <xdr:rowOff>42333</xdr:rowOff>
    </xdr:from>
    <xdr:to>
      <xdr:col>28</xdr:col>
      <xdr:colOff>275167</xdr:colOff>
      <xdr:row>16</xdr:row>
      <xdr:rowOff>179917</xdr:rowOff>
    </xdr:to>
    <xdr:graphicFrame macro="">
      <xdr:nvGraphicFramePr>
        <xdr:cNvPr id="6159" name="Chart 6158">
          <a:extLst>
            <a:ext uri="{FF2B5EF4-FFF2-40B4-BE49-F238E27FC236}">
              <a16:creationId xmlns:a16="http://schemas.microsoft.com/office/drawing/2014/main" id="{8C5D35D7-9CD7-47EC-AAB0-D2306B76F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221300</xdr:colOff>
      <xdr:row>25</xdr:row>
      <xdr:rowOff>160296</xdr:rowOff>
    </xdr:from>
    <xdr:to>
      <xdr:col>12</xdr:col>
      <xdr:colOff>223182</xdr:colOff>
      <xdr:row>28</xdr:row>
      <xdr:rowOff>124382</xdr:rowOff>
    </xdr:to>
    <xdr:sp macro="" textlink="">
      <xdr:nvSpPr>
        <xdr:cNvPr id="6160" name="TextBox 46">
          <a:extLst>
            <a:ext uri="{FF2B5EF4-FFF2-40B4-BE49-F238E27FC236}">
              <a16:creationId xmlns:a16="http://schemas.microsoft.com/office/drawing/2014/main" id="{F3B2A598-A200-8569-0C5C-8A8417D45628}"/>
            </a:ext>
          </a:extLst>
        </xdr:cNvPr>
        <xdr:cNvSpPr txBox="1"/>
      </xdr:nvSpPr>
      <xdr:spPr>
        <a:xfrm>
          <a:off x="5101525" y="4987009"/>
          <a:ext cx="2441994" cy="542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ar-EG" sz="2400" b="1">
              <a:solidFill>
                <a:schemeClr val="bg1"/>
              </a:solidFill>
              <a:effectLst/>
              <a:latin typeface="+mn-lt"/>
              <a:ea typeface="+mn-ea"/>
              <a:cs typeface="+mn-cs"/>
            </a:rPr>
            <a:t>اللون الأكثر مبيعا</a:t>
          </a:r>
          <a:endParaRPr lang="en-US" sz="4800">
            <a:solidFill>
              <a:schemeClr val="bg1"/>
            </a:solidFill>
            <a:effectLst/>
          </a:endParaRPr>
        </a:p>
      </xdr:txBody>
    </xdr:sp>
    <xdr:clientData/>
  </xdr:twoCellAnchor>
  <xdr:twoCellAnchor>
    <xdr:from>
      <xdr:col>28</xdr:col>
      <xdr:colOff>97034</xdr:colOff>
      <xdr:row>34</xdr:row>
      <xdr:rowOff>32109</xdr:rowOff>
    </xdr:from>
    <xdr:to>
      <xdr:col>32</xdr:col>
      <xdr:colOff>128784</xdr:colOff>
      <xdr:row>42</xdr:row>
      <xdr:rowOff>173927</xdr:rowOff>
    </xdr:to>
    <xdr:sp macro="" textlink="">
      <xdr:nvSpPr>
        <xdr:cNvPr id="6161" name="Rectangle: Rounded Corners 6160">
          <a:extLst>
            <a:ext uri="{FF2B5EF4-FFF2-40B4-BE49-F238E27FC236}">
              <a16:creationId xmlns:a16="http://schemas.microsoft.com/office/drawing/2014/main" id="{17D159BE-00EF-480C-A6F4-27C7F84DA623}"/>
            </a:ext>
          </a:extLst>
        </xdr:cNvPr>
        <xdr:cNvSpPr/>
      </xdr:nvSpPr>
      <xdr:spPr>
        <a:xfrm>
          <a:off x="17284367" y="6519692"/>
          <a:ext cx="2487084" cy="1665818"/>
        </a:xfrm>
        <a:prstGeom prst="roundRect">
          <a:avLst/>
        </a:prstGeom>
        <a:solidFill>
          <a:srgbClr val="182540"/>
        </a:solidFill>
        <a:ln>
          <a:noFill/>
        </a:ln>
        <a:effectLst>
          <a:glow rad="139700">
            <a:srgbClr val="C7A587">
              <a:alpha val="40000"/>
            </a:srgb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9C2AD"/>
            </a:solidFill>
          </a:endParaRPr>
        </a:p>
      </xdr:txBody>
    </xdr:sp>
    <xdr:clientData/>
  </xdr:twoCellAnchor>
  <xdr:twoCellAnchor>
    <xdr:from>
      <xdr:col>28</xdr:col>
      <xdr:colOff>107259</xdr:colOff>
      <xdr:row>22</xdr:row>
      <xdr:rowOff>475</xdr:rowOff>
    </xdr:from>
    <xdr:to>
      <xdr:col>32</xdr:col>
      <xdr:colOff>139009</xdr:colOff>
      <xdr:row>30</xdr:row>
      <xdr:rowOff>142293</xdr:rowOff>
    </xdr:to>
    <xdr:sp macro="" textlink="">
      <xdr:nvSpPr>
        <xdr:cNvPr id="6166" name="Rectangle: Rounded Corners 6165">
          <a:extLst>
            <a:ext uri="{FF2B5EF4-FFF2-40B4-BE49-F238E27FC236}">
              <a16:creationId xmlns:a16="http://schemas.microsoft.com/office/drawing/2014/main" id="{5817CC99-2F80-4123-BD30-E87103EC5828}"/>
            </a:ext>
          </a:extLst>
        </xdr:cNvPr>
        <xdr:cNvSpPr/>
      </xdr:nvSpPr>
      <xdr:spPr>
        <a:xfrm>
          <a:off x="17294592" y="4202058"/>
          <a:ext cx="2487084" cy="1665818"/>
        </a:xfrm>
        <a:prstGeom prst="roundRect">
          <a:avLst/>
        </a:prstGeom>
        <a:solidFill>
          <a:srgbClr val="182540"/>
        </a:solidFill>
        <a:ln>
          <a:noFill/>
        </a:ln>
        <a:effectLst>
          <a:glow rad="139700">
            <a:srgbClr val="C7A587">
              <a:alpha val="40000"/>
            </a:srgb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9C2AD"/>
            </a:solidFill>
          </a:endParaRPr>
        </a:p>
      </xdr:txBody>
    </xdr:sp>
    <xdr:clientData/>
  </xdr:twoCellAnchor>
  <xdr:twoCellAnchor>
    <xdr:from>
      <xdr:col>28</xdr:col>
      <xdr:colOff>98913</xdr:colOff>
      <xdr:row>10</xdr:row>
      <xdr:rowOff>82430</xdr:rowOff>
    </xdr:from>
    <xdr:to>
      <xdr:col>32</xdr:col>
      <xdr:colOff>130663</xdr:colOff>
      <xdr:row>19</xdr:row>
      <xdr:rowOff>33867</xdr:rowOff>
    </xdr:to>
    <xdr:sp macro="" textlink="">
      <xdr:nvSpPr>
        <xdr:cNvPr id="6170" name="Rectangle: Rounded Corners 6169">
          <a:extLst>
            <a:ext uri="{FF2B5EF4-FFF2-40B4-BE49-F238E27FC236}">
              <a16:creationId xmlns:a16="http://schemas.microsoft.com/office/drawing/2014/main" id="{FE50815E-9256-4096-91D2-2A2A72908940}"/>
            </a:ext>
          </a:extLst>
        </xdr:cNvPr>
        <xdr:cNvSpPr/>
      </xdr:nvSpPr>
      <xdr:spPr>
        <a:xfrm>
          <a:off x="17286246" y="1998013"/>
          <a:ext cx="2487084" cy="1665937"/>
        </a:xfrm>
        <a:prstGeom prst="roundRect">
          <a:avLst/>
        </a:prstGeom>
        <a:solidFill>
          <a:srgbClr val="182540"/>
        </a:solidFill>
        <a:ln>
          <a:noFill/>
        </a:ln>
        <a:effectLst>
          <a:glow rad="139700">
            <a:srgbClr val="C7A587">
              <a:alpha val="40000"/>
            </a:srgb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24</xdr:col>
      <xdr:colOff>207434</xdr:colOff>
      <xdr:row>0</xdr:row>
      <xdr:rowOff>144992</xdr:rowOff>
    </xdr:from>
    <xdr:to>
      <xdr:col>27</xdr:col>
      <xdr:colOff>397934</xdr:colOff>
      <xdr:row>3</xdr:row>
      <xdr:rowOff>59267</xdr:rowOff>
    </xdr:to>
    <xdr:sp macro="" textlink="">
      <xdr:nvSpPr>
        <xdr:cNvPr id="6174" name="TextBox 6173">
          <a:extLst>
            <a:ext uri="{FF2B5EF4-FFF2-40B4-BE49-F238E27FC236}">
              <a16:creationId xmlns:a16="http://schemas.microsoft.com/office/drawing/2014/main" id="{0B71EEFB-CB4B-4D39-8837-85A29787AB3C}"/>
            </a:ext>
          </a:extLst>
        </xdr:cNvPr>
        <xdr:cNvSpPr txBox="1"/>
      </xdr:nvSpPr>
      <xdr:spPr>
        <a:xfrm>
          <a:off x="14939434" y="144992"/>
          <a:ext cx="2032000" cy="485775"/>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2400" b="1">
              <a:solidFill>
                <a:schemeClr val="bg1"/>
              </a:solidFill>
              <a:latin typeface="+mn-lt"/>
              <a:ea typeface="+mn-ea"/>
              <a:cs typeface="+mn-cs"/>
            </a:rPr>
            <a:t>حاله التسليم</a:t>
          </a:r>
        </a:p>
      </xdr:txBody>
    </xdr:sp>
    <xdr:clientData/>
  </xdr:twoCellAnchor>
  <xdr:twoCellAnchor>
    <xdr:from>
      <xdr:col>28</xdr:col>
      <xdr:colOff>246627</xdr:colOff>
      <xdr:row>11</xdr:row>
      <xdr:rowOff>117</xdr:rowOff>
    </xdr:from>
    <xdr:to>
      <xdr:col>32</xdr:col>
      <xdr:colOff>43285</xdr:colOff>
      <xdr:row>18</xdr:row>
      <xdr:rowOff>96438</xdr:rowOff>
    </xdr:to>
    <xdr:sp macro="" textlink="">
      <xdr:nvSpPr>
        <xdr:cNvPr id="6176" name="Rectangle: Rounded Corners 6175">
          <a:extLst>
            <a:ext uri="{FF2B5EF4-FFF2-40B4-BE49-F238E27FC236}">
              <a16:creationId xmlns:a16="http://schemas.microsoft.com/office/drawing/2014/main" id="{FAC9E46E-264F-43CC-A364-74DD8CD4EAAE}"/>
            </a:ext>
          </a:extLst>
        </xdr:cNvPr>
        <xdr:cNvSpPr/>
      </xdr:nvSpPr>
      <xdr:spPr>
        <a:xfrm>
          <a:off x="17433960" y="2106200"/>
          <a:ext cx="2251992" cy="1429821"/>
        </a:xfrm>
        <a:prstGeom prst="roundRect">
          <a:avLst/>
        </a:prstGeom>
        <a:solidFill>
          <a:srgbClr val="C7A587"/>
        </a:solidFill>
        <a:ln>
          <a:noFill/>
        </a:ln>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C7A587"/>
            </a:solidFill>
          </a:endParaRPr>
        </a:p>
      </xdr:txBody>
    </xdr:sp>
    <xdr:clientData/>
  </xdr:twoCellAnchor>
  <xdr:twoCellAnchor>
    <xdr:from>
      <xdr:col>28</xdr:col>
      <xdr:colOff>381000</xdr:colOff>
      <xdr:row>11</xdr:row>
      <xdr:rowOff>149829</xdr:rowOff>
    </xdr:from>
    <xdr:to>
      <xdr:col>32</xdr:col>
      <xdr:colOff>231242</xdr:colOff>
      <xdr:row>15</xdr:row>
      <xdr:rowOff>1639</xdr:rowOff>
    </xdr:to>
    <xdr:sp macro="" textlink="">
      <xdr:nvSpPr>
        <xdr:cNvPr id="6178" name="TextBox 46">
          <a:extLst>
            <a:ext uri="{FF2B5EF4-FFF2-40B4-BE49-F238E27FC236}">
              <a16:creationId xmlns:a16="http://schemas.microsoft.com/office/drawing/2014/main" id="{176BDE49-39BF-4C4C-B7F4-C2C75C066C00}"/>
            </a:ext>
          </a:extLst>
        </xdr:cNvPr>
        <xdr:cNvSpPr txBox="1"/>
      </xdr:nvSpPr>
      <xdr:spPr>
        <a:xfrm>
          <a:off x="17568333" y="2255912"/>
          <a:ext cx="2305576" cy="613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ar-EG" sz="2800" b="1">
              <a:solidFill>
                <a:schemeClr val="bg1"/>
              </a:solidFill>
              <a:effectLst/>
            </a:rPr>
            <a:t>إجمالي المبيعات</a:t>
          </a:r>
          <a:endParaRPr lang="en-US" sz="2800" b="1">
            <a:solidFill>
              <a:schemeClr val="bg1"/>
            </a:solidFill>
            <a:effectLst/>
          </a:endParaRPr>
        </a:p>
      </xdr:txBody>
    </xdr:sp>
    <xdr:clientData/>
  </xdr:twoCellAnchor>
  <xdr:twoCellAnchor>
    <xdr:from>
      <xdr:col>28</xdr:col>
      <xdr:colOff>546290</xdr:colOff>
      <xdr:row>14</xdr:row>
      <xdr:rowOff>74319</xdr:rowOff>
    </xdr:from>
    <xdr:to>
      <xdr:col>32</xdr:col>
      <xdr:colOff>61145</xdr:colOff>
      <xdr:row>17</xdr:row>
      <xdr:rowOff>42687</xdr:rowOff>
    </xdr:to>
    <xdr:sp macro="" textlink="'pivot table'!D6">
      <xdr:nvSpPr>
        <xdr:cNvPr id="6179" name="TextBox 46">
          <a:extLst>
            <a:ext uri="{FF2B5EF4-FFF2-40B4-BE49-F238E27FC236}">
              <a16:creationId xmlns:a16="http://schemas.microsoft.com/office/drawing/2014/main" id="{7B3048C4-03DB-476F-9D79-E38911E25E32}"/>
            </a:ext>
          </a:extLst>
        </xdr:cNvPr>
        <xdr:cNvSpPr txBox="1"/>
      </xdr:nvSpPr>
      <xdr:spPr>
        <a:xfrm>
          <a:off x="17733623" y="2751902"/>
          <a:ext cx="1970189" cy="539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fld id="{90D89548-B2C5-4289-8AB8-486A43AF2675}" type="TxLink">
            <a:rPr lang="en-US" sz="2400" b="1" i="0" u="none" strike="noStrike">
              <a:solidFill>
                <a:schemeClr val="bg1"/>
              </a:solidFill>
              <a:effectLst/>
              <a:latin typeface="Calibri"/>
              <a:cs typeface="Calibri"/>
            </a:rPr>
            <a:pPr/>
            <a:t> 1,123,878 </a:t>
          </a:fld>
          <a:endParaRPr lang="en-US" sz="8800" b="1">
            <a:solidFill>
              <a:schemeClr val="bg1"/>
            </a:solidFill>
            <a:effectLst/>
          </a:endParaRPr>
        </a:p>
      </xdr:txBody>
    </xdr:sp>
    <xdr:clientData/>
  </xdr:twoCellAnchor>
  <xdr:twoCellAnchor>
    <xdr:from>
      <xdr:col>28</xdr:col>
      <xdr:colOff>246270</xdr:colOff>
      <xdr:row>22</xdr:row>
      <xdr:rowOff>126643</xdr:rowOff>
    </xdr:from>
    <xdr:to>
      <xdr:col>32</xdr:col>
      <xdr:colOff>42928</xdr:colOff>
      <xdr:row>30</xdr:row>
      <xdr:rowOff>32464</xdr:rowOff>
    </xdr:to>
    <xdr:sp macro="" textlink="">
      <xdr:nvSpPr>
        <xdr:cNvPr id="6180" name="Rectangle: Rounded Corners 6179">
          <a:extLst>
            <a:ext uri="{FF2B5EF4-FFF2-40B4-BE49-F238E27FC236}">
              <a16:creationId xmlns:a16="http://schemas.microsoft.com/office/drawing/2014/main" id="{4C52632D-CC7F-4376-8BDE-4258E290AB42}"/>
            </a:ext>
          </a:extLst>
        </xdr:cNvPr>
        <xdr:cNvSpPr/>
      </xdr:nvSpPr>
      <xdr:spPr>
        <a:xfrm>
          <a:off x="17433603" y="4328226"/>
          <a:ext cx="2251992" cy="1429821"/>
        </a:xfrm>
        <a:prstGeom prst="roundRect">
          <a:avLst/>
        </a:prstGeom>
        <a:solidFill>
          <a:srgbClr val="C7A587"/>
        </a:solidFill>
        <a:ln>
          <a:noFill/>
        </a:ln>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C7A587"/>
            </a:solidFill>
          </a:endParaRPr>
        </a:p>
      </xdr:txBody>
    </xdr:sp>
    <xdr:clientData/>
  </xdr:twoCellAnchor>
  <xdr:twoCellAnchor>
    <xdr:from>
      <xdr:col>29</xdr:col>
      <xdr:colOff>21166</xdr:colOff>
      <xdr:row>23</xdr:row>
      <xdr:rowOff>41144</xdr:rowOff>
    </xdr:from>
    <xdr:to>
      <xdr:col>31</xdr:col>
      <xdr:colOff>328084</xdr:colOff>
      <xdr:row>26</xdr:row>
      <xdr:rowOff>7372</xdr:rowOff>
    </xdr:to>
    <xdr:sp macro="" textlink="">
      <xdr:nvSpPr>
        <xdr:cNvPr id="6181" name="TextBox 46">
          <a:extLst>
            <a:ext uri="{FF2B5EF4-FFF2-40B4-BE49-F238E27FC236}">
              <a16:creationId xmlns:a16="http://schemas.microsoft.com/office/drawing/2014/main" id="{CFFE329E-5E7F-4242-9EF4-AD14B85B7CFD}"/>
            </a:ext>
          </a:extLst>
        </xdr:cNvPr>
        <xdr:cNvSpPr txBox="1"/>
      </xdr:nvSpPr>
      <xdr:spPr>
        <a:xfrm>
          <a:off x="17822333" y="4433227"/>
          <a:ext cx="1534584" cy="537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ar-EG" sz="2400" b="1">
              <a:solidFill>
                <a:schemeClr val="bg1"/>
              </a:solidFill>
              <a:effectLst/>
              <a:latin typeface="+mn-lt"/>
              <a:ea typeface="+mn-ea"/>
              <a:cs typeface="+mn-cs"/>
            </a:rPr>
            <a:t>عدد الطلبات</a:t>
          </a:r>
          <a:endParaRPr lang="en-US" sz="4800">
            <a:solidFill>
              <a:schemeClr val="bg1"/>
            </a:solidFill>
            <a:effectLst/>
          </a:endParaRPr>
        </a:p>
      </xdr:txBody>
    </xdr:sp>
    <xdr:clientData/>
  </xdr:twoCellAnchor>
  <xdr:twoCellAnchor>
    <xdr:from>
      <xdr:col>29</xdr:col>
      <xdr:colOff>470661</xdr:colOff>
      <xdr:row>25</xdr:row>
      <xdr:rowOff>94894</xdr:rowOff>
    </xdr:from>
    <xdr:to>
      <xdr:col>30</xdr:col>
      <xdr:colOff>512996</xdr:colOff>
      <xdr:row>28</xdr:row>
      <xdr:rowOff>61120</xdr:rowOff>
    </xdr:to>
    <xdr:sp macro="" textlink="'pivot table'!I6">
      <xdr:nvSpPr>
        <xdr:cNvPr id="6182" name="TextBox 46">
          <a:extLst>
            <a:ext uri="{FF2B5EF4-FFF2-40B4-BE49-F238E27FC236}">
              <a16:creationId xmlns:a16="http://schemas.microsoft.com/office/drawing/2014/main" id="{FAE37009-BF12-4E11-A6F9-DE5B52399404}"/>
            </a:ext>
          </a:extLst>
        </xdr:cNvPr>
        <xdr:cNvSpPr txBox="1"/>
      </xdr:nvSpPr>
      <xdr:spPr>
        <a:xfrm>
          <a:off x="18161476" y="4921607"/>
          <a:ext cx="652363" cy="544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fld id="{6A2513D4-35BE-46D8-96C9-74D882775220}" type="TxLink">
            <a:rPr lang="en-US" sz="2400" b="1" i="0" u="none" strike="noStrike">
              <a:solidFill>
                <a:schemeClr val="bg1"/>
              </a:solidFill>
              <a:effectLst/>
              <a:latin typeface="Calibri"/>
              <a:cs typeface="Calibri"/>
            </a:rPr>
            <a:pPr/>
            <a:t>105</a:t>
          </a:fld>
          <a:endParaRPr lang="en-US" sz="8800" b="1">
            <a:solidFill>
              <a:schemeClr val="bg1"/>
            </a:solidFill>
            <a:effectLst/>
          </a:endParaRPr>
        </a:p>
      </xdr:txBody>
    </xdr:sp>
    <xdr:clientData/>
  </xdr:twoCellAnchor>
  <xdr:twoCellAnchor>
    <xdr:from>
      <xdr:col>28</xdr:col>
      <xdr:colOff>236281</xdr:colOff>
      <xdr:row>34</xdr:row>
      <xdr:rowOff>160774</xdr:rowOff>
    </xdr:from>
    <xdr:to>
      <xdr:col>32</xdr:col>
      <xdr:colOff>32939</xdr:colOff>
      <xdr:row>42</xdr:row>
      <xdr:rowOff>64455</xdr:rowOff>
    </xdr:to>
    <xdr:sp macro="" textlink="">
      <xdr:nvSpPr>
        <xdr:cNvPr id="6183" name="Rectangle: Rounded Corners 6182">
          <a:extLst>
            <a:ext uri="{FF2B5EF4-FFF2-40B4-BE49-F238E27FC236}">
              <a16:creationId xmlns:a16="http://schemas.microsoft.com/office/drawing/2014/main" id="{1C293493-6730-4BC4-B53A-66C095F69776}"/>
            </a:ext>
          </a:extLst>
        </xdr:cNvPr>
        <xdr:cNvSpPr/>
      </xdr:nvSpPr>
      <xdr:spPr>
        <a:xfrm>
          <a:off x="17423614" y="6648357"/>
          <a:ext cx="2251992" cy="1427681"/>
        </a:xfrm>
        <a:prstGeom prst="roundRect">
          <a:avLst/>
        </a:prstGeom>
        <a:solidFill>
          <a:srgbClr val="C7A587"/>
        </a:solidFill>
        <a:ln>
          <a:noFill/>
        </a:ln>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C7A587"/>
            </a:solidFill>
          </a:endParaRPr>
        </a:p>
      </xdr:txBody>
    </xdr:sp>
    <xdr:clientData/>
  </xdr:twoCellAnchor>
  <xdr:twoCellAnchor>
    <xdr:from>
      <xdr:col>28</xdr:col>
      <xdr:colOff>86806</xdr:colOff>
      <xdr:row>37</xdr:row>
      <xdr:rowOff>169932</xdr:rowOff>
    </xdr:from>
    <xdr:to>
      <xdr:col>32</xdr:col>
      <xdr:colOff>88689</xdr:colOff>
      <xdr:row>40</xdr:row>
      <xdr:rowOff>136158</xdr:rowOff>
    </xdr:to>
    <xdr:sp macro="" textlink="'pivot table'!N6">
      <xdr:nvSpPr>
        <xdr:cNvPr id="6185" name="TextBox 46">
          <a:extLst>
            <a:ext uri="{FF2B5EF4-FFF2-40B4-BE49-F238E27FC236}">
              <a16:creationId xmlns:a16="http://schemas.microsoft.com/office/drawing/2014/main" id="{72B4588E-877E-4F41-9591-D3B27759F6D5}"/>
            </a:ext>
          </a:extLst>
        </xdr:cNvPr>
        <xdr:cNvSpPr txBox="1"/>
      </xdr:nvSpPr>
      <xdr:spPr>
        <a:xfrm>
          <a:off x="17274139" y="7229015"/>
          <a:ext cx="2457217" cy="537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73372472-2B58-45FD-9B13-6FFA4E9352B7}" type="TxLink">
            <a:rPr lang="en-US" sz="2400" b="1" i="0" u="none" strike="noStrike">
              <a:solidFill>
                <a:schemeClr val="bg1"/>
              </a:solidFill>
              <a:effectLst/>
              <a:latin typeface="Calibri"/>
              <a:cs typeface="Calibri"/>
            </a:rPr>
            <a:pPr algn="ctr"/>
            <a:t>10704</a:t>
          </a:fld>
          <a:endParaRPr lang="en-US" sz="8800" b="1">
            <a:solidFill>
              <a:schemeClr val="bg1"/>
            </a:solidFill>
            <a:effectLst/>
          </a:endParaRPr>
        </a:p>
      </xdr:txBody>
    </xdr:sp>
    <xdr:clientData/>
  </xdr:twoCellAnchor>
  <xdr:twoCellAnchor>
    <xdr:from>
      <xdr:col>12</xdr:col>
      <xdr:colOff>455085</xdr:colOff>
      <xdr:row>6</xdr:row>
      <xdr:rowOff>96200</xdr:rowOff>
    </xdr:from>
    <xdr:to>
      <xdr:col>20</xdr:col>
      <xdr:colOff>21168</xdr:colOff>
      <xdr:row>9</xdr:row>
      <xdr:rowOff>10475</xdr:rowOff>
    </xdr:to>
    <xdr:sp macro="" textlink="">
      <xdr:nvSpPr>
        <xdr:cNvPr id="1025" name="Text Box 1">
          <a:extLst>
            <a:ext uri="{FF2B5EF4-FFF2-40B4-BE49-F238E27FC236}">
              <a16:creationId xmlns:a16="http://schemas.microsoft.com/office/drawing/2014/main" id="{86DB1409-4C5B-4286-9779-45419C8CF999}"/>
            </a:ext>
          </a:extLst>
        </xdr:cNvPr>
        <xdr:cNvSpPr txBox="1">
          <a:spLocks noChangeArrowheads="1"/>
        </xdr:cNvSpPr>
      </xdr:nvSpPr>
      <xdr:spPr bwMode="auto">
        <a:xfrm>
          <a:off x="7821085" y="1239200"/>
          <a:ext cx="4476750" cy="485775"/>
        </a:xfrm>
        <a:prstGeom prst="rect">
          <a:avLst/>
        </a:prstGeom>
        <a:noFill/>
        <a:ln w="9525">
          <a:noFill/>
          <a:miter lim="800000"/>
          <a:headEnd/>
          <a:tailEnd/>
        </a:ln>
      </xdr:spPr>
      <xdr:txBody>
        <a:bodyPr vertOverflow="clip" wrap="square" lIns="27432" tIns="22860" rIns="0" bIns="0" anchor="ctr" upright="1"/>
        <a:lstStyle/>
        <a:p>
          <a:pPr algn="ctr" rtl="0">
            <a:defRPr sz="1000"/>
          </a:pPr>
          <a:r>
            <a:rPr lang="ar-EG" sz="2400" b="1" i="0" u="none" strike="noStrike" baseline="0">
              <a:solidFill>
                <a:schemeClr val="bg1"/>
              </a:solidFill>
              <a:latin typeface="+mn-lt"/>
              <a:cs typeface="Calibri"/>
            </a:rPr>
            <a:t>عدد المنتجات المباعة </a:t>
          </a:r>
          <a:r>
            <a:rPr lang="ar-EG" sz="2400" b="1">
              <a:solidFill>
                <a:schemeClr val="bg1"/>
              </a:solidFill>
              <a:effectLst/>
              <a:latin typeface="+mn-lt"/>
              <a:ea typeface="+mn-ea"/>
              <a:cs typeface="+mn-cs"/>
            </a:rPr>
            <a:t>حسب</a:t>
          </a:r>
          <a:r>
            <a:rPr lang="ar-EG" sz="2400" b="1" i="0" u="none" strike="noStrike" baseline="0">
              <a:solidFill>
                <a:schemeClr val="bg1"/>
              </a:solidFill>
              <a:latin typeface="+mn-lt"/>
              <a:cs typeface="Calibri"/>
            </a:rPr>
            <a:t> المنصة</a:t>
          </a:r>
          <a:endParaRPr lang="en-US" sz="2400" b="1" i="0" u="none" strike="noStrike" baseline="0">
            <a:solidFill>
              <a:schemeClr val="bg1"/>
            </a:solidFill>
            <a:latin typeface="Calibri"/>
            <a:cs typeface="Calibri"/>
          </a:endParaRPr>
        </a:p>
      </xdr:txBody>
    </xdr:sp>
    <xdr:clientData/>
  </xdr:twoCellAnchor>
  <xdr:twoCellAnchor editAs="oneCell">
    <xdr:from>
      <xdr:col>0</xdr:col>
      <xdr:colOff>243416</xdr:colOff>
      <xdr:row>30</xdr:row>
      <xdr:rowOff>169334</xdr:rowOff>
    </xdr:from>
    <xdr:to>
      <xdr:col>4</xdr:col>
      <xdr:colOff>42333</xdr:colOff>
      <xdr:row>38</xdr:row>
      <xdr:rowOff>10584</xdr:rowOff>
    </xdr:to>
    <mc:AlternateContent xmlns:mc="http://schemas.openxmlformats.org/markup-compatibility/2006">
      <mc:Choice xmlns:a14="http://schemas.microsoft.com/office/drawing/2010/main" Requires="a14">
        <xdr:graphicFrame macro="">
          <xdr:nvGraphicFramePr>
            <xdr:cNvPr id="2" name="Months (ميعاد الطلب)">
              <a:extLst>
                <a:ext uri="{FF2B5EF4-FFF2-40B4-BE49-F238E27FC236}">
                  <a16:creationId xmlns:a16="http://schemas.microsoft.com/office/drawing/2014/main" id="{D5145082-A5DF-449E-A0A6-135AB88EB74E}"/>
                </a:ext>
              </a:extLst>
            </xdr:cNvPr>
            <xdr:cNvGraphicFramePr/>
          </xdr:nvGraphicFramePr>
          <xdr:xfrm>
            <a:off x="0" y="0"/>
            <a:ext cx="0" cy="0"/>
          </xdr:xfrm>
          <a:graphic>
            <a:graphicData uri="http://schemas.microsoft.com/office/drawing/2010/slicer">
              <sle:slicer xmlns:sle="http://schemas.microsoft.com/office/drawing/2010/slicer" name="Months (ميعاد الطلب)"/>
            </a:graphicData>
          </a:graphic>
        </xdr:graphicFrame>
      </mc:Choice>
      <mc:Fallback>
        <xdr:sp macro="" textlink="">
          <xdr:nvSpPr>
            <xdr:cNvPr id="0" name=""/>
            <xdr:cNvSpPr>
              <a:spLocks noTextEdit="1"/>
            </xdr:cNvSpPr>
          </xdr:nvSpPr>
          <xdr:spPr>
            <a:xfrm>
              <a:off x="243416" y="5894917"/>
              <a:ext cx="2254250" cy="1365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412750</xdr:colOff>
      <xdr:row>35</xdr:row>
      <xdr:rowOff>85503</xdr:rowOff>
    </xdr:from>
    <xdr:to>
      <xdr:col>32</xdr:col>
      <xdr:colOff>22061</xdr:colOff>
      <xdr:row>38</xdr:row>
      <xdr:rowOff>51731</xdr:rowOff>
    </xdr:to>
    <xdr:sp macro="" textlink="">
      <xdr:nvSpPr>
        <xdr:cNvPr id="5" name="TextBox 46">
          <a:extLst>
            <a:ext uri="{FF2B5EF4-FFF2-40B4-BE49-F238E27FC236}">
              <a16:creationId xmlns:a16="http://schemas.microsoft.com/office/drawing/2014/main" id="{01091B49-1254-4DA6-8611-C311688CD3B5}"/>
            </a:ext>
          </a:extLst>
        </xdr:cNvPr>
        <xdr:cNvSpPr txBox="1"/>
      </xdr:nvSpPr>
      <xdr:spPr>
        <a:xfrm>
          <a:off x="17600083" y="6763586"/>
          <a:ext cx="2064645" cy="537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ar-EG" sz="2400" b="1">
              <a:solidFill>
                <a:schemeClr val="bg1"/>
              </a:solidFill>
              <a:effectLst/>
              <a:latin typeface="+mn-lt"/>
              <a:ea typeface="+mn-ea"/>
              <a:cs typeface="+mn-cs"/>
            </a:rPr>
            <a:t>متوسط سعر البيع</a:t>
          </a:r>
          <a:endParaRPr lang="en-US" sz="4800">
            <a:solidFill>
              <a:schemeClr val="bg1"/>
            </a:solidFill>
            <a:effectLst/>
          </a:endParaRPr>
        </a:p>
      </xdr:txBody>
    </xdr:sp>
    <xdr:clientData/>
  </xdr:twoCellAnchor>
  <mc:AlternateContent xmlns:mc="http://schemas.openxmlformats.org/markup-compatibility/2006">
    <mc:Choice xmlns:a14="http://schemas.microsoft.com/office/drawing/2010/main" Requires="a14">
      <xdr:twoCellAnchor>
        <xdr:from>
          <xdr:col>0</xdr:col>
          <xdr:colOff>200025</xdr:colOff>
          <xdr:row>38</xdr:row>
          <xdr:rowOff>95250</xdr:rowOff>
        </xdr:from>
        <xdr:to>
          <xdr:col>2</xdr:col>
          <xdr:colOff>161925</xdr:colOff>
          <xdr:row>40</xdr:row>
          <xdr:rowOff>28575</xdr:rowOff>
        </xdr:to>
        <xdr:sp macro="" textlink="">
          <xdr:nvSpPr>
            <xdr:cNvPr id="3" name="Button 1" hidden="1">
              <a:extLst>
                <a:ext uri="{63B3BB69-23CF-44E3-9099-C40C66FF867C}">
                  <a14:compatExt spid="_x0000_s1025"/>
                </a:ext>
                <a:ext uri="{FF2B5EF4-FFF2-40B4-BE49-F238E27FC236}">
                  <a16:creationId xmlns:a16="http://schemas.microsoft.com/office/drawing/2014/main" id="{00000000-0008-0000-0300-0000030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600" b="1" i="0" u="none" strike="noStrike" baseline="0">
                  <a:solidFill>
                    <a:srgbClr val="FF0000"/>
                  </a:solidFill>
                  <a:latin typeface="Abadi"/>
                </a:rPr>
                <a:t>Refresh</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209550</xdr:colOff>
          <xdr:row>38</xdr:row>
          <xdr:rowOff>85725</xdr:rowOff>
        </xdr:from>
        <xdr:to>
          <xdr:col>4</xdr:col>
          <xdr:colOff>52917</xdr:colOff>
          <xdr:row>40</xdr:row>
          <xdr:rowOff>31750</xdr:rowOff>
        </xdr:to>
        <xdr:sp macro="" textlink="">
          <xdr:nvSpPr>
            <xdr:cNvPr id="1026" name="Button 2" hidden="1">
              <a:extLst>
                <a:ext uri="{63B3BB69-23CF-44E3-9099-C40C66FF867C}">
                  <a14:compatExt spid="_x0000_s1026"/>
                </a:ext>
                <a:ext uri="{FF2B5EF4-FFF2-40B4-BE49-F238E27FC236}">
                  <a16:creationId xmlns:a16="http://schemas.microsoft.com/office/drawing/2014/main" id="{00000000-0008-0000-0300-000002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600" b="1" i="0" u="none" strike="noStrike" baseline="0">
                  <a:solidFill>
                    <a:srgbClr val="FF0000"/>
                  </a:solidFill>
                  <a:latin typeface="Abadi"/>
                </a:rPr>
                <a:t>Clear</a:t>
              </a:r>
            </a:p>
          </xdr:txBody>
        </xdr:sp>
        <xdr:clientData fPrintsWithSheet="0"/>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1</cdr:x>
      <cdr:y>0.64516</cdr:y>
    </cdr:from>
    <cdr:to>
      <cdr:x>1</cdr:x>
      <cdr:y>0.80553</cdr:y>
    </cdr:to>
    <cdr:sp macro="" textlink="">
      <cdr:nvSpPr>
        <cdr:cNvPr id="2" name="TextBox 46">
          <a:extLst xmlns:a="http://schemas.openxmlformats.org/drawingml/2006/main">
            <a:ext uri="{FF2B5EF4-FFF2-40B4-BE49-F238E27FC236}">
              <a16:creationId xmlns:a16="http://schemas.microsoft.com/office/drawing/2014/main" id="{BF6BF0B7-8E17-B02D-41E9-3C709555D68E}"/>
            </a:ext>
          </a:extLst>
        </cdr:cNvPr>
        <cdr:cNvSpPr txBox="1"/>
      </cdr:nvSpPr>
      <cdr:spPr>
        <a:xfrm xmlns:a="http://schemas.openxmlformats.org/drawingml/2006/main">
          <a:off x="6625901" y="2267490"/>
          <a:ext cx="1" cy="563639"/>
        </a:xfrm>
        <a:prstGeom xmlns:a="http://schemas.openxmlformats.org/drawingml/2006/main" prst="rect">
          <a:avLst/>
        </a:prstGeom>
        <a:solidFill xmlns:a="http://schemas.openxmlformats.org/drawingml/2006/main">
          <a:srgbClr val="182540"/>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ar-EG" sz="2400" b="1">
            <a:solidFill>
              <a:schemeClr val="bg1"/>
            </a:solidFill>
            <a:latin typeface="+mn-lt"/>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0.3698</cdr:x>
      <cdr:y>0</cdr:y>
    </cdr:from>
    <cdr:to>
      <cdr:x>0.73951</cdr:x>
      <cdr:y>0.16176</cdr:y>
    </cdr:to>
    <cdr:sp macro="" textlink="">
      <cdr:nvSpPr>
        <cdr:cNvPr id="2" name="TextBox 46">
          <a:extLst xmlns:a="http://schemas.openxmlformats.org/drawingml/2006/main">
            <a:ext uri="{FF2B5EF4-FFF2-40B4-BE49-F238E27FC236}">
              <a16:creationId xmlns:a16="http://schemas.microsoft.com/office/drawing/2014/main" id="{C00041CC-3D09-9BB7-8BB8-B8E9387E3057}"/>
            </a:ext>
          </a:extLst>
        </cdr:cNvPr>
        <cdr:cNvSpPr txBox="1"/>
      </cdr:nvSpPr>
      <cdr:spPr>
        <a:xfrm xmlns:a="http://schemas.openxmlformats.org/drawingml/2006/main">
          <a:off x="2442355" y="0"/>
          <a:ext cx="2441741" cy="54395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ar-EG" sz="2400" b="1">
              <a:solidFill>
                <a:schemeClr val="bg1"/>
              </a:solidFill>
              <a:latin typeface="+mn-lt"/>
              <a:ea typeface="+mn-ea"/>
              <a:cs typeface="+mn-cs"/>
            </a:rPr>
            <a:t>المنتج الأكثر مبيعا</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AM TECHNOLOGY" refreshedDate="46103.614581365742" createdVersion="8" refreshedVersion="8" minRefreshableVersion="3" recordCount="105" xr:uid="{94E2CC80-B701-44BE-80CE-E7B92D846214}">
  <cacheSource type="worksheet">
    <worksheetSource name="mo"/>
  </cacheSource>
  <cacheFields count="20">
    <cacheField name="أسم العميل" numFmtId="0">
      <sharedItems/>
    </cacheField>
    <cacheField name="نوع العميل" numFmtId="0">
      <sharedItems count="2">
        <s v="فرد"/>
        <s v="شركه"/>
      </sharedItems>
    </cacheField>
    <cacheField name="العنوان" numFmtId="0">
      <sharedItems count="38">
        <s v="العجوزه - الجيزه"/>
        <s v="سموحه - اسكندريه"/>
        <s v="سيدى عبد الرحمن - الساحل الشمالى "/>
        <s v="الغردقه "/>
        <s v="مخزن شيك هومز"/>
        <s v="القاهره الجديده"/>
        <s v="العباسيه"/>
        <s v="   ٦اكتوبر الجيزه"/>
        <s v="المقطم "/>
        <s v="المعادى"/>
        <s v="مدينه نصر "/>
        <s v="شبرا "/>
        <s v="١٨ شارع البحيري بولاق الدكرور الجيزه "/>
        <s v="العين السخنه"/>
        <s v="الابراهيميه . الإسكندرية "/>
        <s v="القطاميه "/>
        <s v="الشروق القاهره "/>
        <s v="حدايق الاهرام "/>
        <s v="الشروق"/>
        <s v="لافيستا العين السخنه "/>
        <s v="فيصل الجيزه"/>
        <s v="الشيخ زايد ٦ اكتوبر "/>
        <s v="العبور"/>
        <s v="اسيوط "/>
        <s v="EL-Maadi"/>
        <s v="Madinet Badr"/>
        <s v="التجمع"/>
        <s v="السويس "/>
        <s v="المعرض مدينه نصر"/>
        <s v="المخزن ابو الغيط "/>
        <s v="أكتوبر "/>
        <s v="البطاش اسكندريه"/>
        <s v="41 كومبوند جولدن جستس الدور 4 شقه 4"/>
        <s v="المخزن"/>
        <s v="مخزن اوسكار في القناطر "/>
        <s v="جليم الإسكندرية "/>
        <s v="المندره اسكندريه"/>
        <s v="دون تاون كايرو التجمع "/>
      </sharedItems>
    </cacheField>
    <cacheField name="منصة البيع " numFmtId="0">
      <sharedItems count="8">
        <s v="هومزمارت"/>
        <s v="شيك هومز "/>
        <s v="فيسبوك"/>
        <s v="تاكى"/>
        <s v="اوسكار ريتن "/>
        <s v="السويس"/>
        <s v="منزلى "/>
        <s v="كيمت "/>
      </sharedItems>
    </cacheField>
    <cacheField name="اسم المنتج" numFmtId="0">
      <sharedItems count="6">
        <s v="سرير"/>
        <s v="تربيزه"/>
        <s v="كنبه"/>
        <s v="ركنة"/>
        <s v="كرسى"/>
        <s v="شيزلونج"/>
      </sharedItems>
    </cacheField>
    <cacheField name="نوع المنتج" numFmtId="0">
      <sharedItems/>
    </cacheField>
    <cacheField name="الاسم" numFmtId="0">
      <sharedItems containsBlank="1"/>
    </cacheField>
    <cacheField name="المقاس" numFmtId="0">
      <sharedItems containsBlank="1" containsMixedTypes="1" containsNumber="1" containsInteger="1" minValue="80" maxValue="160"/>
    </cacheField>
    <cacheField name="اللون المعدن" numFmtId="0">
      <sharedItems containsBlank="1" count="11">
        <s v="ابيض"/>
        <s v="اسود"/>
        <s v="ازرق"/>
        <m/>
        <s v="رمادى"/>
        <s v="بينك"/>
        <s v="الوان"/>
        <s v="دهبي"/>
        <s v="بنفسجى"/>
        <s v="ملون"/>
        <s v="نبيتى "/>
      </sharedItems>
    </cacheField>
    <cacheField name="المنتج" numFmtId="0">
      <sharedItems containsBlank="1"/>
    </cacheField>
    <cacheField name="السعر" numFmtId="1">
      <sharedItems containsSemiMixedTypes="0" containsString="0" containsNumber="1" minValue="4020" maxValue="31948"/>
    </cacheField>
    <cacheField name="طريقه الدفع " numFmtId="1">
      <sharedItems containsMixedTypes="1" containsNumber="1" containsInteger="1" minValue="11495" maxValue="11495"/>
    </cacheField>
    <cacheField name="حاله التسليم" numFmtId="0">
      <sharedItems count="2">
        <s v=" متأخر"/>
        <s v="في الموعد"/>
      </sharedItems>
    </cacheField>
    <cacheField name="ميعاد الطلب" numFmtId="164">
      <sharedItems containsSemiMixedTypes="0" containsNonDate="0" containsDate="1" containsString="0" minDate="2024-07-27T00:00:00" maxDate="2024-12-15T00:00:00" count="53">
        <d v="2024-07-27T00:00:00"/>
        <d v="2024-07-28T00:00:00"/>
        <d v="2024-08-25T00:00:00"/>
        <d v="2024-08-16T00:00:00"/>
        <d v="2024-08-14T00:00:00"/>
        <d v="2024-08-17T00:00:00"/>
        <d v="2024-10-13T00:00:00"/>
        <d v="2024-08-19T00:00:00"/>
        <d v="2024-09-01T00:00:00"/>
        <d v="2024-09-05T00:00:00"/>
        <d v="2024-09-04T00:00:00"/>
        <d v="2024-09-03T00:00:00"/>
        <d v="2024-10-22T00:00:00"/>
        <d v="2024-09-06T00:00:00"/>
        <d v="2024-09-09T00:00:00"/>
        <d v="2024-11-24T00:00:00"/>
        <d v="2024-10-26T00:00:00"/>
        <d v="2024-09-12T00:00:00"/>
        <d v="2024-09-14T00:00:00"/>
        <d v="2024-09-13T00:00:00"/>
        <d v="2024-09-15T00:00:00"/>
        <d v="2024-09-16T00:00:00"/>
        <d v="2024-09-26T00:00:00"/>
        <d v="2024-10-01T00:00:00"/>
        <d v="2024-09-29T00:00:00"/>
        <d v="2024-11-14T00:00:00"/>
        <d v="2024-10-08T00:00:00"/>
        <d v="2024-10-07T00:00:00"/>
        <d v="2024-10-10T00:00:00"/>
        <d v="2024-09-23T00:00:00"/>
        <d v="2024-10-16T00:00:00"/>
        <d v="2024-10-17T00:00:00"/>
        <d v="2024-10-20T00:00:00"/>
        <d v="2024-11-12T00:00:00"/>
        <d v="2024-10-28T00:00:00"/>
        <d v="2024-10-21T00:00:00"/>
        <d v="2024-10-24T00:00:00"/>
        <d v="2024-12-01T00:00:00"/>
        <d v="2024-11-11T00:00:00"/>
        <d v="2024-11-08T00:00:00"/>
        <d v="2024-09-21T00:00:00"/>
        <d v="2024-11-10T00:00:00"/>
        <d v="2024-11-17T00:00:00"/>
        <d v="2024-11-20T00:00:00"/>
        <d v="2024-11-22T00:00:00"/>
        <d v="2024-11-19T00:00:00"/>
        <d v="2024-11-27T00:00:00"/>
        <d v="2024-11-29T00:00:00"/>
        <d v="2024-12-02T00:00:00"/>
        <d v="2024-12-04T00:00:00"/>
        <d v="2024-12-09T00:00:00"/>
        <d v="2024-12-12T00:00:00"/>
        <d v="2024-12-14T00:00:00"/>
      </sharedItems>
      <fieldGroup par="19"/>
    </cacheField>
    <cacheField name="ميعاد التسليم" numFmtId="164">
      <sharedItems containsSemiMixedTypes="0" containsNonDate="0" containsDate="1" containsString="0" minDate="2024-08-04T00:00:00" maxDate="2025-01-06T00:00:00"/>
    </cacheField>
    <cacheField name="تاريخ التسليم" numFmtId="164">
      <sharedItems containsNonDate="0" containsDate="1" containsString="0" containsBlank="1" minDate="2024-08-10T00:00:00" maxDate="2024-12-30T00:00:00"/>
    </cacheField>
    <cacheField name="المسئول عن التسليم" numFmtId="0">
      <sharedItems containsBlank="1"/>
    </cacheField>
    <cacheField name="الحالة" numFmtId="0">
      <sharedItems containsBlank="1" count="5">
        <s v="تم التسليم"/>
        <s v="فشل التسليم"/>
        <s v="لغى"/>
        <m/>
        <s v="مرفوض "/>
      </sharedItems>
    </cacheField>
    <cacheField name="Months (ميعاد الطلب)" numFmtId="0" databaseField="0">
      <fieldGroup base="13">
        <rangePr groupBy="months" startDate="2024-07-27T00:00:00" endDate="2024-12-15T00:00:00"/>
        <groupItems count="14">
          <s v="&lt;7/27/2024"/>
          <s v="Jan"/>
          <s v="Feb"/>
          <s v="Mar"/>
          <s v="Apr"/>
          <s v="May"/>
          <s v="Jun"/>
          <s v="Jul"/>
          <s v="Aug"/>
          <s v="Sep"/>
          <s v="Oct"/>
          <s v="Nov"/>
          <s v="Dec"/>
          <s v="&gt;12/15/2024"/>
        </groupItems>
      </fieldGroup>
    </cacheField>
    <cacheField name="Years (ميعاد الطلب)" numFmtId="0" databaseField="0">
      <fieldGroup base="13">
        <rangePr groupBy="years" startDate="2024-07-27T00:00:00" endDate="2024-12-15T00:00:00"/>
        <groupItems count="3">
          <s v="&lt;7/27/2024"/>
          <s v="2024"/>
          <s v="&gt;12/15/2024"/>
        </groupItems>
      </fieldGroup>
    </cacheField>
  </cacheFields>
  <extLst>
    <ext xmlns:x14="http://schemas.microsoft.com/office/spreadsheetml/2009/9/main" uri="{725AE2AE-9491-48be-B2B4-4EB974FC3084}">
      <x14:pivotCacheDefinition pivotCacheId="11803031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s v="خالد عبد القوى "/>
    <x v="0"/>
    <x v="0"/>
    <x v="0"/>
    <x v="0"/>
    <s v="منطبق"/>
    <m/>
    <m/>
    <x v="0"/>
    <s v="سرير منطبق الحديد ابيض والقماش ابيض "/>
    <n v="10160"/>
    <s v="مسبق الدفع"/>
    <x v="0"/>
    <x v="0"/>
    <d v="2024-08-04T00:00:00"/>
    <d v="2024-08-10T00:00:00"/>
    <s v="تم التسليم عن طريق شركه شحن "/>
    <x v="0"/>
  </r>
  <r>
    <s v="محمود"/>
    <x v="0"/>
    <x v="1"/>
    <x v="0"/>
    <x v="0"/>
    <s v="منطبق"/>
    <m/>
    <m/>
    <x v="1"/>
    <s v="سرير منطبق اسود والقماش اسود "/>
    <n v="10160"/>
    <s v="كاش"/>
    <x v="0"/>
    <x v="1"/>
    <d v="2024-08-04T00:00:00"/>
    <d v="2024-08-11T00:00:00"/>
    <s v="تم التسليم عن طريق شركه شحن "/>
    <x v="0"/>
  </r>
  <r>
    <s v="سعيد"/>
    <x v="0"/>
    <x v="2"/>
    <x v="0"/>
    <x v="0"/>
    <s v="دورين"/>
    <s v="كيفنج"/>
    <n v="90"/>
    <x v="2"/>
    <s v="سرير كيفينج مقاس ٩٠ لون ازرق "/>
    <n v="11455"/>
    <s v="كاش"/>
    <x v="1"/>
    <x v="0"/>
    <d v="2024-10-01T00:00:00"/>
    <m/>
    <s v="فشل التسليم "/>
    <x v="1"/>
  </r>
  <r>
    <s v="ساندرا"/>
    <x v="1"/>
    <x v="3"/>
    <x v="0"/>
    <x v="1"/>
    <s v="2 ميكانزم"/>
    <m/>
    <m/>
    <x v="3"/>
    <s v="ترابيزه قهوه متحركه "/>
    <n v="8642"/>
    <s v="كاش"/>
    <x v="1"/>
    <x v="2"/>
    <d v="2024-09-07T00:00:00"/>
    <d v="2024-08-27T00:00:00"/>
    <s v="تم التسليم عن طريق شركه شحن "/>
    <x v="0"/>
  </r>
  <r>
    <s v="زينا "/>
    <x v="0"/>
    <x v="2"/>
    <x v="0"/>
    <x v="0"/>
    <s v="دورين"/>
    <s v="نوفال"/>
    <n v="100"/>
    <x v="4"/>
    <s v="سرير نوفال متر رمادى "/>
    <n v="12833"/>
    <s v="كاش"/>
    <x v="1"/>
    <x v="3"/>
    <d v="2024-08-11T00:00:00"/>
    <m/>
    <s v="فشل التسليم "/>
    <x v="1"/>
  </r>
  <r>
    <s v="شيك هومز "/>
    <x v="1"/>
    <x v="4"/>
    <x v="1"/>
    <x v="2"/>
    <s v="4×1"/>
    <m/>
    <m/>
    <x v="4"/>
    <s v="كنبه سرير رمادى "/>
    <n v="14550"/>
    <s v="مسبق الدفع"/>
    <x v="0"/>
    <x v="4"/>
    <d v="2024-09-03T00:00:00"/>
    <d v="2024-09-05T00:00:00"/>
    <s v="تم التسليم عن طريق شركه شحن "/>
    <x v="0"/>
  </r>
  <r>
    <s v="احمد "/>
    <x v="0"/>
    <x v="5"/>
    <x v="2"/>
    <x v="2"/>
    <s v="4×1"/>
    <m/>
    <m/>
    <x v="4"/>
    <s v="كنبه سرير رمادى "/>
    <n v="12000"/>
    <s v="كاش"/>
    <x v="1"/>
    <x v="5"/>
    <d v="2024-08-20T00:00:00"/>
    <d v="2024-08-19T00:00:00"/>
    <s v="تم التسليم عن طريق شركه شحن "/>
    <x v="0"/>
  </r>
  <r>
    <s v="keira"/>
    <x v="1"/>
    <x v="5"/>
    <x v="0"/>
    <x v="0"/>
    <s v="دورين"/>
    <s v="نوفال"/>
    <s v="100/140"/>
    <x v="5"/>
    <m/>
    <n v="12899"/>
    <s v="كاش"/>
    <x v="1"/>
    <x v="6"/>
    <d v="2024-12-17T00:00:00"/>
    <d v="2024-11-02T00:00:00"/>
    <s v="تم التسليم محمود على "/>
    <x v="0"/>
  </r>
  <r>
    <s v="تاكى "/>
    <x v="1"/>
    <x v="6"/>
    <x v="3"/>
    <x v="3"/>
    <s v="ركنة بسرير"/>
    <m/>
    <m/>
    <x v="3"/>
    <s v="ركنه "/>
    <n v="22000"/>
    <s v="كاش"/>
    <x v="0"/>
    <x v="7"/>
    <d v="2024-09-01T00:00:00"/>
    <d v="2024-09-17T00:00:00"/>
    <s v="تم التسليم"/>
    <x v="0"/>
  </r>
  <r>
    <s v="تاكى "/>
    <x v="1"/>
    <x v="6"/>
    <x v="3"/>
    <x v="2"/>
    <s v="كنبه"/>
    <m/>
    <m/>
    <x v="3"/>
    <s v="٢ كنبه سحاره بدون مخدع "/>
    <n v="6000"/>
    <s v="كاش"/>
    <x v="0"/>
    <x v="2"/>
    <d v="2024-09-15T00:00:00"/>
    <d v="2024-09-17T00:00:00"/>
    <s v="تم التسليم محمود على "/>
    <x v="0"/>
  </r>
  <r>
    <s v="على رشوان "/>
    <x v="0"/>
    <x v="5"/>
    <x v="0"/>
    <x v="0"/>
    <s v="دورين"/>
    <s v="نوفال"/>
    <n v="80"/>
    <x v="0"/>
    <s v="سرير نوفال ابيض مقاس ٨٠"/>
    <n v="10499"/>
    <s v="كاش"/>
    <x v="1"/>
    <x v="8"/>
    <d v="2024-09-16T00:00:00"/>
    <d v="2024-09-08T00:00:00"/>
    <s v="تم التسليم عن طريق شركه شحن "/>
    <x v="0"/>
  </r>
  <r>
    <s v="احمد فخرى "/>
    <x v="0"/>
    <x v="7"/>
    <x v="0"/>
    <x v="0"/>
    <s v="فردى"/>
    <s v="نوفال"/>
    <n v="80"/>
    <x v="0"/>
    <s v="سرير فردى خشب موسكى الحديد ابيض مقاس ٨٠"/>
    <n v="7295"/>
    <s v="كاش"/>
    <x v="1"/>
    <x v="9"/>
    <d v="2024-09-14T00:00:00"/>
    <m/>
    <s v="لفي الطلب"/>
    <x v="2"/>
  </r>
  <r>
    <s v="لينا "/>
    <x v="0"/>
    <x v="8"/>
    <x v="0"/>
    <x v="1"/>
    <s v="2 ميكانزم"/>
    <m/>
    <m/>
    <x v="3"/>
    <s v="ترابيزه قهوه علويه جديده "/>
    <n v="7849"/>
    <s v="مسبق الدفع"/>
    <x v="0"/>
    <x v="10"/>
    <d v="2024-09-16T00:00:00"/>
    <d v="2024-09-25T00:00:00"/>
    <s v="تم التسليم عن طريق شركه شحن "/>
    <x v="0"/>
  </r>
  <r>
    <s v="فيصل نعيم "/>
    <x v="0"/>
    <x v="5"/>
    <x v="4"/>
    <x v="0"/>
    <s v="دورين"/>
    <s v="كيفنج"/>
    <n v="120"/>
    <x v="1"/>
    <s v="٢ سرير كيفنج ١٢٠ اسود "/>
    <n v="6180"/>
    <s v="كاش"/>
    <x v="1"/>
    <x v="11"/>
    <d v="2024-09-16T00:00:00"/>
    <d v="2024-09-15T00:00:00"/>
    <s v="تم التسليم محمود على "/>
    <x v="0"/>
  </r>
  <r>
    <s v="شيك هومز "/>
    <x v="1"/>
    <x v="7"/>
    <x v="1"/>
    <x v="0"/>
    <s v="دورين"/>
    <s v="فانتاستك"/>
    <n v="100"/>
    <x v="6"/>
    <m/>
    <n v="12777.5"/>
    <s v="كاش"/>
    <x v="0"/>
    <x v="12"/>
    <d v="2024-11-12T00:00:00"/>
    <d v="2024-11-18T00:00:00"/>
    <s v="تم التسليم محمود على "/>
    <x v="0"/>
  </r>
  <r>
    <s v="تاكى"/>
    <x v="1"/>
    <x v="6"/>
    <x v="3"/>
    <x v="4"/>
    <s v="فنسيا"/>
    <m/>
    <m/>
    <x v="3"/>
    <s v="٢ فوتيه فنيسيا "/>
    <n v="9300"/>
    <s v="كاش"/>
    <x v="0"/>
    <x v="10"/>
    <d v="2024-09-15T00:00:00"/>
    <d v="2024-09-17T00:00:00"/>
    <s v="تم التسليم محمود على "/>
    <x v="0"/>
  </r>
  <r>
    <s v="احمد "/>
    <x v="0"/>
    <x v="5"/>
    <x v="0"/>
    <x v="0"/>
    <s v="فردى"/>
    <s v="فورجينا"/>
    <n v="80"/>
    <x v="0"/>
    <s v="٤سرير فردى خشب موسكى الحديد ابيض مقاس ٨٠"/>
    <n v="31948"/>
    <s v="مسبق الدفع"/>
    <x v="0"/>
    <x v="13"/>
    <d v="2024-09-16T00:00:00"/>
    <d v="2024-09-21T00:00:00"/>
    <s v="تم التسليم محمود على "/>
    <x v="0"/>
  </r>
  <r>
    <s v="صفاء"/>
    <x v="0"/>
    <x v="9"/>
    <x v="0"/>
    <x v="1"/>
    <s v="2 ميكانزم"/>
    <m/>
    <m/>
    <x v="3"/>
    <s v="ترابيزه قهوه علويه جديده "/>
    <n v="8849"/>
    <s v="مسبق الدفع"/>
    <x v="1"/>
    <x v="11"/>
    <d v="2024-10-16T00:00:00"/>
    <m/>
    <s v="لفي الطلب"/>
    <x v="2"/>
  </r>
  <r>
    <s v="حسن حازم"/>
    <x v="0"/>
    <x v="7"/>
    <x v="0"/>
    <x v="0"/>
    <s v="فردى"/>
    <s v="اسبانى"/>
    <n v="120"/>
    <x v="0"/>
    <s v="سرير اسبانى ابيض ١٢٠"/>
    <n v="10987"/>
    <s v="مسبق الدفع"/>
    <x v="0"/>
    <x v="14"/>
    <d v="2024-09-17T00:00:00"/>
    <d v="2024-09-21T00:00:00"/>
    <s v="تم التسليم محمود على "/>
    <x v="0"/>
  </r>
  <r>
    <s v="ellho elkafy"/>
    <x v="1"/>
    <x v="10"/>
    <x v="0"/>
    <x v="0"/>
    <s v="دورين"/>
    <s v="كينج"/>
    <n v="80"/>
    <x v="0"/>
    <s v="سرير كينج ابيض مقاس ٨٠ التصميم الجديد "/>
    <n v="11199"/>
    <s v="كاش"/>
    <x v="1"/>
    <x v="10"/>
    <d v="2024-09-18T00:00:00"/>
    <m/>
    <s v="لفي الطلب"/>
    <x v="2"/>
  </r>
  <r>
    <s v="بافلى هانى "/>
    <x v="1"/>
    <x v="11"/>
    <x v="0"/>
    <x v="0"/>
    <s v="فردى"/>
    <s v="اسبانى"/>
    <n v="120"/>
    <x v="4"/>
    <m/>
    <n v="10885"/>
    <s v="كاش"/>
    <x v="0"/>
    <x v="15"/>
    <d v="2024-12-05T00:00:00"/>
    <d v="2024-12-10T00:00:00"/>
    <s v="تم التسليم محمود على "/>
    <x v="0"/>
  </r>
  <r>
    <s v="شيك هومز "/>
    <x v="1"/>
    <x v="4"/>
    <x v="1"/>
    <x v="0"/>
    <s v="دورين"/>
    <s v="كينج"/>
    <n v="100"/>
    <x v="1"/>
    <m/>
    <n v="10045"/>
    <s v="كاش"/>
    <x v="1"/>
    <x v="16"/>
    <d v="2024-11-16T00:00:00"/>
    <m/>
    <s v="لفي الطلب"/>
    <x v="2"/>
  </r>
  <r>
    <s v="عبير نور الدين"/>
    <x v="1"/>
    <x v="12"/>
    <x v="2"/>
    <x v="0"/>
    <s v="ثلاثه ادوار"/>
    <s v="كيفنج"/>
    <n v="100"/>
    <x v="1"/>
    <s v="سرير ٣ ادورا اسود مقاس ١٠٠ "/>
    <n v="9450"/>
    <s v="كاش"/>
    <x v="1"/>
    <x v="17"/>
    <d v="2024-09-26T00:00:00"/>
    <m/>
    <s v="لفي الطلب"/>
    <x v="2"/>
  </r>
  <r>
    <s v="صفاء الحكيم"/>
    <x v="0"/>
    <x v="13"/>
    <x v="0"/>
    <x v="0"/>
    <s v="منطبق"/>
    <m/>
    <m/>
    <x v="1"/>
    <s v="سرير منطببق اسود وقماش اسود"/>
    <n v="9399"/>
    <s v="مسبق الدفع "/>
    <x v="0"/>
    <x v="18"/>
    <d v="2024-09-22T00:00:00"/>
    <d v="2024-10-22T00:00:00"/>
    <s v="فشل التسليم "/>
    <x v="1"/>
  </r>
  <r>
    <s v="يوسف شناوى"/>
    <x v="0"/>
    <x v="14"/>
    <x v="0"/>
    <x v="1"/>
    <s v="رف سحاب"/>
    <m/>
    <m/>
    <x v="3"/>
    <s v="ترابيزه قهوه علويه برف سحاب "/>
    <n v="8349"/>
    <s v="مسبق الدفع "/>
    <x v="0"/>
    <x v="18"/>
    <d v="2024-09-22T00:00:00"/>
    <d v="2024-09-24T00:00:00"/>
    <s v="تم التسليم عن طريق شركه شحن "/>
    <x v="0"/>
  </r>
  <r>
    <s v="حاتم العيسوي "/>
    <x v="0"/>
    <x v="7"/>
    <x v="0"/>
    <x v="0"/>
    <s v="منطبق"/>
    <m/>
    <m/>
    <x v="1"/>
    <s v="سرير منطبق اسود حديد وقماش"/>
    <n v="9399"/>
    <s v="مسبق الدفع"/>
    <x v="0"/>
    <x v="19"/>
    <d v="2024-09-24T00:00:00"/>
    <d v="2024-09-29T00:00:00"/>
    <s v="تم التسليم عن طريق شركه شحن "/>
    <x v="0"/>
  </r>
  <r>
    <s v="رنا "/>
    <x v="0"/>
    <x v="15"/>
    <x v="0"/>
    <x v="1"/>
    <s v="2 ميكانزم"/>
    <m/>
    <m/>
    <x v="3"/>
    <s v="ترابيزه قهوه علويه جديده "/>
    <n v="7849"/>
    <s v="كاش"/>
    <x v="0"/>
    <x v="17"/>
    <d v="2024-09-26T00:00:00"/>
    <d v="2024-09-30T00:00:00"/>
    <s v="تم التسليم عن طريق شركه شحن "/>
    <x v="0"/>
  </r>
  <r>
    <s v="شيك هومز "/>
    <x v="1"/>
    <x v="4"/>
    <x v="1"/>
    <x v="0"/>
    <s v="دورين"/>
    <s v="كينج"/>
    <n v="100"/>
    <x v="0"/>
    <s v="سرير كينج ابيض "/>
    <n v="9208"/>
    <s v="كاش"/>
    <x v="0"/>
    <x v="8"/>
    <d v="2024-09-19T00:00:00"/>
    <d v="2024-09-21T00:00:00"/>
    <s v="تم التسليم محمود على "/>
    <x v="0"/>
  </r>
  <r>
    <s v="اسراء ابو العنين "/>
    <x v="0"/>
    <x v="5"/>
    <x v="0"/>
    <x v="0"/>
    <s v="فردى"/>
    <s v="اسبانى"/>
    <n v="120"/>
    <x v="1"/>
    <s v="سرير اسبانى اسود مقاس ١٢٠"/>
    <n v="7460"/>
    <s v="مسبق الدفع"/>
    <x v="0"/>
    <x v="19"/>
    <d v="2024-09-26T00:00:00"/>
    <d v="2024-10-03T00:00:00"/>
    <s v="تم التسليم محمود على "/>
    <x v="0"/>
  </r>
  <r>
    <s v="وائل صادق"/>
    <x v="0"/>
    <x v="5"/>
    <x v="0"/>
    <x v="0"/>
    <s v="فردى"/>
    <s v="كورين"/>
    <n v="140"/>
    <x v="7"/>
    <s v="سرير كوين مقاس ١٤٠ دهبي ورمادى "/>
    <n v="9528"/>
    <s v="مسبق الدفع"/>
    <x v="0"/>
    <x v="19"/>
    <d v="2024-09-26T00:00:00"/>
    <d v="2024-10-03T00:00:00"/>
    <s v="تم التسليم محمود على "/>
    <x v="0"/>
  </r>
  <r>
    <s v="حسن مغرب "/>
    <x v="0"/>
    <x v="7"/>
    <x v="0"/>
    <x v="0"/>
    <s v="دورين"/>
    <s v="كيفنج"/>
    <n v="120"/>
    <x v="4"/>
    <s v="سرير كيفنج ١٢٠ رمادى "/>
    <n v="12999"/>
    <s v="مسبق الدفع"/>
    <x v="0"/>
    <x v="18"/>
    <d v="2024-09-27T00:00:00"/>
    <d v="2024-10-02T00:00:00"/>
    <s v="تم التسليم محمود على "/>
    <x v="0"/>
  </r>
  <r>
    <s v="على السيد "/>
    <x v="0"/>
    <x v="16"/>
    <x v="0"/>
    <x v="0"/>
    <s v="دورين"/>
    <s v="نوفال"/>
    <n v="90"/>
    <x v="1"/>
    <s v="سرير نوفال  ٩٠ اسود "/>
    <n v="5999"/>
    <s v="مسبق الدفع"/>
    <x v="1"/>
    <x v="17"/>
    <d v="2024-09-29T00:00:00"/>
    <m/>
    <m/>
    <x v="3"/>
  </r>
  <r>
    <s v="هشام بسيونى "/>
    <x v="0"/>
    <x v="17"/>
    <x v="0"/>
    <x v="0"/>
    <s v="دورين"/>
    <s v="كيفنج"/>
    <n v="100"/>
    <x v="1"/>
    <s v="            ٢ سرير كيفنج ١٠٠ اسود "/>
    <n v="11949"/>
    <s v="كاش"/>
    <x v="0"/>
    <x v="17"/>
    <d v="2024-09-29T00:00:00"/>
    <d v="2024-10-02T00:00:00"/>
    <s v="تم التسليم محمود على "/>
    <x v="0"/>
  </r>
  <r>
    <s v="احمد "/>
    <x v="0"/>
    <x v="18"/>
    <x v="0"/>
    <x v="0"/>
    <s v="ثلاثه ادوار"/>
    <s v="كيفنج"/>
    <n v="80"/>
    <x v="0"/>
    <s v="سرير ٣ ادوار ابيض مقاس ٨٠ ابيض "/>
    <n v="16599"/>
    <s v="مسبق الدفع"/>
    <x v="0"/>
    <x v="19"/>
    <d v="2024-09-30T00:00:00"/>
    <d v="2024-10-03T00:00:00"/>
    <s v="تم التسليم محمود على "/>
    <x v="0"/>
  </r>
  <r>
    <s v="ساره وجيه "/>
    <x v="0"/>
    <x v="3"/>
    <x v="0"/>
    <x v="0"/>
    <s v="دورين"/>
    <s v="كيفنج"/>
    <n v="80"/>
    <x v="0"/>
    <s v="سرير كيفنج دورين مقاس ٨٠ ابيض "/>
    <n v="10999"/>
    <s v="مسبق الدفع"/>
    <x v="0"/>
    <x v="19"/>
    <d v="2024-09-30T00:00:00"/>
    <d v="2024-10-16T00:00:00"/>
    <s v="تم التسليم عن طريق شركه شحن "/>
    <x v="0"/>
  </r>
  <r>
    <s v="مها "/>
    <x v="0"/>
    <x v="19"/>
    <x v="0"/>
    <x v="0"/>
    <s v="دورين"/>
    <s v="كيفنج"/>
    <n v="140"/>
    <x v="2"/>
    <s v="سرير استيل ازرق مقاس ١٤٠"/>
    <n v="13099"/>
    <s v="مسبق الدفع"/>
    <x v="0"/>
    <x v="19"/>
    <d v="2024-09-30T00:00:00"/>
    <d v="2024-10-03T00:00:00"/>
    <s v="تم التسليم عن طريق شركه شحن "/>
    <x v="0"/>
  </r>
  <r>
    <s v="بسام الشربينى "/>
    <x v="0"/>
    <x v="7"/>
    <x v="0"/>
    <x v="0"/>
    <s v="دورين"/>
    <s v="كينج"/>
    <n v="120"/>
    <x v="8"/>
    <s v="سرير كينج ١٢٠ بنفسجى "/>
    <n v="13849"/>
    <s v="مسبق الدفع"/>
    <x v="0"/>
    <x v="19"/>
    <d v="2024-09-30T00:00:00"/>
    <d v="2024-10-20T00:00:00"/>
    <s v="تم التسليم محمود على "/>
    <x v="0"/>
  </r>
  <r>
    <s v="هبه عبد الفتاح "/>
    <x v="0"/>
    <x v="5"/>
    <x v="0"/>
    <x v="2"/>
    <s v="4×1"/>
    <m/>
    <m/>
    <x v="1"/>
    <s v="كنبه سرير ٤ حركه "/>
    <n v="21999"/>
    <s v="مسبق الدفع"/>
    <x v="0"/>
    <x v="19"/>
    <d v="2024-09-30T00:00:00"/>
    <d v="2024-10-21T00:00:00"/>
    <s v="تم التسليم محمود على "/>
    <x v="0"/>
  </r>
  <r>
    <s v="اسراء ابراهيم "/>
    <x v="0"/>
    <x v="7"/>
    <x v="0"/>
    <x v="0"/>
    <s v="دورين"/>
    <s v="كيفنج"/>
    <n v="80"/>
    <x v="0"/>
    <s v="سرير كيفنج دورين مقاس ٨٠ ابيض "/>
    <n v="10999"/>
    <s v="مسبق الدفع"/>
    <x v="0"/>
    <x v="19"/>
    <d v="2024-09-30T00:00:00"/>
    <d v="2024-10-15T00:00:00"/>
    <s v="تم التسليم محمود على "/>
    <x v="0"/>
  </r>
  <r>
    <s v="طارق كمال "/>
    <x v="0"/>
    <x v="9"/>
    <x v="0"/>
    <x v="0"/>
    <s v="ثلاثه ادوار"/>
    <s v="كيفنج"/>
    <n v="90"/>
    <x v="1"/>
    <s v="سرير ٣ ادوار اسود مقاس ٩٠ "/>
    <n v="17249"/>
    <s v="مسبق الدفع"/>
    <x v="0"/>
    <x v="19"/>
    <d v="2024-09-30T00:00:00"/>
    <d v="2024-10-04T00:00:00"/>
    <s v="تم التسليم محمود على "/>
    <x v="0"/>
  </r>
  <r>
    <s v="ديفد بهجت "/>
    <x v="1"/>
    <x v="20"/>
    <x v="0"/>
    <x v="1"/>
    <s v="2 ميكانزم"/>
    <m/>
    <m/>
    <x v="3"/>
    <s v="تربيزه قهوه ٢ رافع"/>
    <n v="8349"/>
    <s v="مسبق الدفع"/>
    <x v="0"/>
    <x v="18"/>
    <d v="2024-10-16T00:00:00"/>
    <d v="2024-10-21T00:00:00"/>
    <s v="تم التسليم محمود على "/>
    <x v="0"/>
  </r>
  <r>
    <s v="اياد "/>
    <x v="0"/>
    <x v="8"/>
    <x v="0"/>
    <x v="1"/>
    <s v="مكتبة"/>
    <m/>
    <m/>
    <x v="3"/>
    <s v="ترابيزه قهوه متحركه "/>
    <n v="7849"/>
    <s v="مسبق الدفع"/>
    <x v="0"/>
    <x v="18"/>
    <d v="2024-10-29T00:00:00"/>
    <d v="2024-10-30T00:00:00"/>
    <s v="تم التسليم محمود على "/>
    <x v="0"/>
  </r>
  <r>
    <s v="ميار خورشد"/>
    <x v="0"/>
    <x v="7"/>
    <x v="0"/>
    <x v="0"/>
    <s v="منطبق"/>
    <m/>
    <m/>
    <x v="1"/>
    <s v="سرير منطبق اسود حديد ومعدن "/>
    <n v="9399"/>
    <s v="مسبق الدفع "/>
    <x v="1"/>
    <x v="18"/>
    <d v="2024-10-29T00:00:00"/>
    <d v="2024-10-15T00:00:00"/>
    <s v="تم التسليم محمود على "/>
    <x v="0"/>
  </r>
  <r>
    <s v="عبد الله سيد "/>
    <x v="0"/>
    <x v="21"/>
    <x v="0"/>
    <x v="0"/>
    <s v="فردى"/>
    <s v="اسبانى"/>
    <n v="140"/>
    <x v="1"/>
    <s v="سرير اسبانى  ١٤٠ اسود وبيج "/>
    <n v="11817"/>
    <s v="مسبق الدفع "/>
    <x v="1"/>
    <x v="18"/>
    <d v="2024-10-29T00:00:00"/>
    <d v="2024-10-15T00:00:00"/>
    <s v="تم التسليم محمود على "/>
    <x v="0"/>
  </r>
  <r>
    <s v="كينج سونا "/>
    <x v="1"/>
    <x v="18"/>
    <x v="0"/>
    <x v="1"/>
    <s v="رف سحاب"/>
    <m/>
    <m/>
    <x v="3"/>
    <s v="تربيزه قهوه مرتفعه برف سحاب "/>
    <n v="8349"/>
    <s v="مسبق الدفع "/>
    <x v="1"/>
    <x v="18"/>
    <d v="2024-10-29T00:00:00"/>
    <d v="2024-10-19T00:00:00"/>
    <s v="تم التسليم محمود على "/>
    <x v="0"/>
  </r>
  <r>
    <s v="احمد خالد "/>
    <x v="0"/>
    <x v="5"/>
    <x v="0"/>
    <x v="0"/>
    <s v="فردى"/>
    <s v="فورجينا"/>
    <n v="120"/>
    <x v="0"/>
    <s v=" ٢. سرير فورجينا ابيض مقاس ١٢٠"/>
    <n v="17886"/>
    <s v="مسبق الدفع "/>
    <x v="1"/>
    <x v="18"/>
    <d v="2024-10-29T00:00:00"/>
    <m/>
    <s v="لفي الطلب"/>
    <x v="2"/>
  </r>
  <r>
    <s v="ساره"/>
    <x v="0"/>
    <x v="5"/>
    <x v="0"/>
    <x v="0"/>
    <s v="فردى"/>
    <s v="اسبانى"/>
    <n v="120"/>
    <x v="0"/>
    <s v="   ٢. سرير اسبانى ابيض ١٢٠"/>
    <n v="10987"/>
    <s v="مسبق الدفع"/>
    <x v="1"/>
    <x v="18"/>
    <d v="2024-10-29T00:00:00"/>
    <d v="2024-10-13T00:00:00"/>
    <s v="تم التسليم محمود على "/>
    <x v="0"/>
  </r>
  <r>
    <s v="احمد ايمن "/>
    <x v="0"/>
    <x v="22"/>
    <x v="0"/>
    <x v="1"/>
    <s v="2 ميكانزم"/>
    <m/>
    <m/>
    <x v="3"/>
    <s v="ترابيزه قهوه علويه جديده "/>
    <n v="10319"/>
    <s v="مسبق الدفع"/>
    <x v="1"/>
    <x v="18"/>
    <d v="2024-10-29T00:00:00"/>
    <d v="2024-10-19T00:00:00"/>
    <s v="تم التسليم محمود على "/>
    <x v="0"/>
  </r>
  <r>
    <s v="مصطفي غنيم "/>
    <x v="0"/>
    <x v="23"/>
    <x v="0"/>
    <x v="0"/>
    <s v="دورين"/>
    <s v="كيفنج"/>
    <n v="120"/>
    <x v="4"/>
    <s v="سرير كيفنج دورين مقاس ١٢٠ رمادى "/>
    <n v="12999"/>
    <s v="مسبق الدفع "/>
    <x v="1"/>
    <x v="18"/>
    <d v="2024-11-20T00:00:00"/>
    <d v="2024-10-17T00:00:00"/>
    <s v="تم التسليم عن طريق شركه شحن "/>
    <x v="0"/>
  </r>
  <r>
    <s v="حسام عبدون"/>
    <x v="0"/>
    <x v="3"/>
    <x v="0"/>
    <x v="2"/>
    <s v="4×1"/>
    <m/>
    <m/>
    <x v="1"/>
    <s v="كنبه سرير ٤ حركه "/>
    <n v="21999"/>
    <s v="مسبق الدفع"/>
    <x v="1"/>
    <x v="18"/>
    <d v="2024-11-20T00:00:00"/>
    <m/>
    <s v="لفي الطلب"/>
    <x v="2"/>
  </r>
  <r>
    <s v="رامى "/>
    <x v="0"/>
    <x v="18"/>
    <x v="0"/>
    <x v="0"/>
    <s v="دورين"/>
    <s v="نوفال"/>
    <n v="100"/>
    <x v="4"/>
    <s v="سرير نوفال ١٠٠ رمادى "/>
    <n v="12399"/>
    <s v="مسبق الدفع"/>
    <x v="1"/>
    <x v="18"/>
    <d v="2024-11-20T00:00:00"/>
    <d v="2024-10-01T00:00:00"/>
    <s v="تم التسليم عن طريق شركه شحن "/>
    <x v="0"/>
  </r>
  <r>
    <s v="رحاب"/>
    <x v="0"/>
    <x v="5"/>
    <x v="0"/>
    <x v="2"/>
    <s v="4×1"/>
    <m/>
    <m/>
    <x v="1"/>
    <s v="كنبه سرير ٤ حركه "/>
    <n v="21999"/>
    <s v="مسبق الدفع"/>
    <x v="1"/>
    <x v="18"/>
    <d v="2024-11-20T00:00:00"/>
    <d v="2024-10-09T00:00:00"/>
    <s v="تم التسليم محمود على "/>
    <x v="0"/>
  </r>
  <r>
    <s v="فؤاد المنسي "/>
    <x v="0"/>
    <x v="8"/>
    <x v="0"/>
    <x v="0"/>
    <s v="دورين"/>
    <s v="نوفال"/>
    <n v="80"/>
    <x v="0"/>
    <s v="سرير نوفال مقاس ٨٠ ابيض "/>
    <n v="10999"/>
    <s v="مسبق الدفع "/>
    <x v="1"/>
    <x v="18"/>
    <d v="2024-11-20T00:00:00"/>
    <d v="2024-10-16T00:00:00"/>
    <s v="تم التسليم محمود على "/>
    <x v="0"/>
  </r>
  <r>
    <s v="mohannad"/>
    <x v="0"/>
    <x v="24"/>
    <x v="0"/>
    <x v="0"/>
    <s v="دورين"/>
    <s v="كيفنج"/>
    <n v="80"/>
    <x v="0"/>
    <m/>
    <n v="10999"/>
    <s v="مسبق الدفع "/>
    <x v="1"/>
    <x v="20"/>
    <d v="2024-11-20T00:00:00"/>
    <d v="2024-10-16T00:00:00"/>
    <s v="تم التسليم محمود على "/>
    <x v="0"/>
  </r>
  <r>
    <s v="Mohamed Ayman"/>
    <x v="0"/>
    <x v="25"/>
    <x v="0"/>
    <x v="2"/>
    <s v="4×1"/>
    <m/>
    <m/>
    <x v="1"/>
    <m/>
    <n v="21999"/>
    <s v="مسبق الدفع "/>
    <x v="1"/>
    <x v="20"/>
    <d v="2024-11-20T00:00:00"/>
    <d v="2024-10-19T00:00:00"/>
    <s v="تم التسليم محمود على "/>
    <x v="0"/>
  </r>
  <r>
    <s v="اسامه"/>
    <x v="0"/>
    <x v="13"/>
    <x v="0"/>
    <x v="1"/>
    <s v="2 ميكانزم"/>
    <m/>
    <m/>
    <x v="3"/>
    <m/>
    <n v="7849"/>
    <s v="كاش"/>
    <x v="0"/>
    <x v="21"/>
    <d v="2024-10-30T00:00:00"/>
    <d v="2024-11-14T00:00:00"/>
    <s v="تم التسليم عن طريق شركه شحن "/>
    <x v="0"/>
  </r>
  <r>
    <s v="شيك هومز "/>
    <x v="1"/>
    <x v="4"/>
    <x v="1"/>
    <x v="0"/>
    <s v="دورين"/>
    <s v="كينج"/>
    <n v="100"/>
    <x v="1"/>
    <s v="سرير كينج اسود "/>
    <n v="9208"/>
    <s v="كاش"/>
    <x v="0"/>
    <x v="8"/>
    <d v="2024-09-19T00:00:00"/>
    <d v="2024-09-21T00:00:00"/>
    <s v="تم التسليم محمود على "/>
    <x v="0"/>
  </r>
  <r>
    <s v="شيك هومز "/>
    <x v="1"/>
    <x v="4"/>
    <x v="1"/>
    <x v="0"/>
    <s v="دورين"/>
    <s v="كينج"/>
    <n v="100"/>
    <x v="1"/>
    <m/>
    <n v="9208"/>
    <s v="كاش"/>
    <x v="1"/>
    <x v="22"/>
    <d v="2024-10-14T00:00:00"/>
    <m/>
    <s v="لفي الطلب"/>
    <x v="2"/>
  </r>
  <r>
    <s v="ولاء بدوى"/>
    <x v="0"/>
    <x v="6"/>
    <x v="0"/>
    <x v="0"/>
    <s v="فردى"/>
    <s v="فورجينا"/>
    <n v="120"/>
    <x v="0"/>
    <m/>
    <n v="8943"/>
    <s v="كاش"/>
    <x v="1"/>
    <x v="22"/>
    <d v="2024-11-10T00:00:00"/>
    <d v="2024-10-10T00:00:00"/>
    <s v="تم التسليم محمود على "/>
    <x v="0"/>
  </r>
  <r>
    <s v="شيك هومز "/>
    <x v="1"/>
    <x v="26"/>
    <x v="1"/>
    <x v="2"/>
    <s v="4×1"/>
    <m/>
    <m/>
    <x v="3"/>
    <m/>
    <n v="14950"/>
    <s v="مسبق الدفع"/>
    <x v="1"/>
    <x v="22"/>
    <d v="2024-10-14T00:00:00"/>
    <d v="2024-10-13T00:00:00"/>
    <s v="تم التسليم محمود على "/>
    <x v="0"/>
  </r>
  <r>
    <s v="الحج محمد السويس"/>
    <x v="1"/>
    <x v="27"/>
    <x v="5"/>
    <x v="0"/>
    <s v="دورين"/>
    <s v="فانتاستك"/>
    <n v="100"/>
    <x v="9"/>
    <m/>
    <n v="8544"/>
    <s v="كاش"/>
    <x v="1"/>
    <x v="23"/>
    <d v="2024-10-09T00:00:00"/>
    <d v="2024-10-09T00:00:00"/>
    <s v="تم التسليم بمعرفه الحج سيد "/>
    <x v="0"/>
  </r>
  <r>
    <s v="اوسكار راتن"/>
    <x v="1"/>
    <x v="28"/>
    <x v="4"/>
    <x v="0"/>
    <s v="دورين"/>
    <s v="فانتاستك"/>
    <n v="100"/>
    <x v="6"/>
    <m/>
    <n v="8544"/>
    <s v="حساب شركه"/>
    <x v="1"/>
    <x v="12"/>
    <d v="2024-11-22T00:00:00"/>
    <m/>
    <s v="لفي الطلب"/>
    <x v="4"/>
  </r>
  <r>
    <s v="شيك هومز "/>
    <x v="1"/>
    <x v="4"/>
    <x v="1"/>
    <x v="0"/>
    <s v="فردى"/>
    <s v="اسبانى"/>
    <n v="120"/>
    <x v="0"/>
    <m/>
    <n v="7433"/>
    <s v="مسبق الدفع"/>
    <x v="0"/>
    <x v="24"/>
    <d v="2024-10-20T00:00:00"/>
    <d v="2024-10-21T00:00:00"/>
    <s v="تم التسليم محمود على "/>
    <x v="0"/>
  </r>
  <r>
    <s v="yilmaz"/>
    <x v="1"/>
    <x v="7"/>
    <x v="0"/>
    <x v="0"/>
    <s v="فردى"/>
    <s v="فورجينا"/>
    <m/>
    <x v="0"/>
    <s v="سرير فردى ابيض "/>
    <n v="7228"/>
    <s v="مسبق الدفع"/>
    <x v="0"/>
    <x v="2"/>
    <d v="2024-09-03T00:00:00"/>
    <d v="2024-09-10T00:00:00"/>
    <s v="تم التسليم عن طريق شركه شحن "/>
    <x v="0"/>
  </r>
  <r>
    <s v="اوسكار راتن"/>
    <x v="1"/>
    <x v="29"/>
    <x v="4"/>
    <x v="0"/>
    <s v="دورين"/>
    <s v="نوفال"/>
    <n v="120"/>
    <x v="4"/>
    <m/>
    <n v="6376"/>
    <s v="حساب شركه"/>
    <x v="1"/>
    <x v="25"/>
    <d v="2024-11-27T00:00:00"/>
    <d v="2024-11-25T00:00:00"/>
    <s v="تم التسليم محمود على "/>
    <x v="0"/>
  </r>
  <r>
    <s v="الحج محمد السويس"/>
    <x v="1"/>
    <x v="27"/>
    <x v="5"/>
    <x v="2"/>
    <s v="فنسيا"/>
    <m/>
    <m/>
    <x v="1"/>
    <m/>
    <n v="10000"/>
    <s v="كاش"/>
    <x v="1"/>
    <x v="23"/>
    <d v="2024-10-09T00:00:00"/>
    <d v="2024-10-09T00:00:00"/>
    <s v="تم التسليم بمعرفه الحج سيد "/>
    <x v="0"/>
  </r>
  <r>
    <s v="الحج محمد السويس"/>
    <x v="1"/>
    <x v="27"/>
    <x v="5"/>
    <x v="5"/>
    <s v="دورين"/>
    <m/>
    <m/>
    <x v="1"/>
    <m/>
    <n v="10366"/>
    <s v="كاش"/>
    <x v="1"/>
    <x v="23"/>
    <d v="2024-10-09T00:00:00"/>
    <d v="2024-10-09T00:00:00"/>
    <s v="تم التسليم بمعرفه الحج سيد "/>
    <x v="0"/>
  </r>
  <r>
    <s v="شيك هومز "/>
    <x v="1"/>
    <x v="4"/>
    <x v="1"/>
    <x v="2"/>
    <s v="4×1"/>
    <m/>
    <m/>
    <x v="1"/>
    <m/>
    <n v="14550"/>
    <s v="مسبق الدفع"/>
    <x v="0"/>
    <x v="26"/>
    <d v="2024-10-29T00:00:00"/>
    <d v="2024-10-30T00:00:00"/>
    <s v="تم التسليم محمود على "/>
    <x v="0"/>
  </r>
  <r>
    <s v="شيك هومز "/>
    <x v="1"/>
    <x v="30"/>
    <x v="1"/>
    <x v="2"/>
    <s v="4×1"/>
    <m/>
    <m/>
    <x v="1"/>
    <m/>
    <n v="14550"/>
    <s v="مسبق الدفع"/>
    <x v="1"/>
    <x v="27"/>
    <d v="2024-10-29T00:00:00"/>
    <d v="2024-10-15T00:00:00"/>
    <s v="تم التسليم محمود على "/>
    <x v="0"/>
  </r>
  <r>
    <s v="شيك هومز "/>
    <x v="1"/>
    <x v="4"/>
    <x v="1"/>
    <x v="2"/>
    <s v="4×1"/>
    <m/>
    <m/>
    <x v="1"/>
    <m/>
    <n v="14550"/>
    <n v="11495"/>
    <x v="0"/>
    <x v="28"/>
    <d v="2024-10-31T00:00:00"/>
    <d v="2024-11-02T00:00:00"/>
    <s v="تم التسليم محمود على "/>
    <x v="0"/>
  </r>
  <r>
    <s v="تاكى "/>
    <x v="1"/>
    <x v="6"/>
    <x v="3"/>
    <x v="0"/>
    <s v="دورين"/>
    <s v="كينج"/>
    <n v="100"/>
    <x v="1"/>
    <m/>
    <n v="6250"/>
    <s v="حساب شركه"/>
    <x v="0"/>
    <x v="29"/>
    <d v="2024-10-08T00:00:00"/>
    <d v="2024-10-17T00:00:00"/>
    <s v="تم التسليم محمود على "/>
    <x v="0"/>
  </r>
  <r>
    <s v="tarek"/>
    <x v="0"/>
    <x v="5"/>
    <x v="0"/>
    <x v="0"/>
    <s v="دورين"/>
    <s v="كيفنج"/>
    <n v="80"/>
    <x v="0"/>
    <m/>
    <n v="10499"/>
    <s v="مسبق الدفع"/>
    <x v="1"/>
    <x v="30"/>
    <d v="2024-12-19T00:00:00"/>
    <d v="2024-10-21T00:00:00"/>
    <s v="تم التسليم محمود على "/>
    <x v="0"/>
  </r>
  <r>
    <s v="reem"/>
    <x v="0"/>
    <x v="31"/>
    <x v="0"/>
    <x v="0"/>
    <s v="دورين"/>
    <s v="نوفال"/>
    <n v="100"/>
    <x v="5"/>
    <m/>
    <n v="12899"/>
    <s v="مسبق الدفع"/>
    <x v="1"/>
    <x v="31"/>
    <d v="2024-12-22T00:00:00"/>
    <d v="2024-12-03T00:00:00"/>
    <s v="تم التسليم عن طريق شركه شحن "/>
    <x v="0"/>
  </r>
  <r>
    <s v="هشام سامى"/>
    <x v="0"/>
    <x v="32"/>
    <x v="6"/>
    <x v="0"/>
    <s v="فردى"/>
    <s v="فورجينا"/>
    <n v="140"/>
    <x v="10"/>
    <m/>
    <n v="5135"/>
    <s v="مسبق الدفع"/>
    <x v="1"/>
    <x v="32"/>
    <d v="2024-11-17T00:00:00"/>
    <d v="2024-11-14T00:00:00"/>
    <s v="تم التسليم محمود على "/>
    <x v="0"/>
  </r>
  <r>
    <s v="اوسكار راتن"/>
    <x v="1"/>
    <x v="29"/>
    <x v="4"/>
    <x v="0"/>
    <s v="دورين"/>
    <s v="كينج"/>
    <n v="90"/>
    <x v="1"/>
    <m/>
    <n v="5766"/>
    <s v="حساب شركه"/>
    <x v="1"/>
    <x v="33"/>
    <d v="2024-11-26T00:00:00"/>
    <d v="2024-11-25T00:00:00"/>
    <s v="تم التسليم محمود على "/>
    <x v="0"/>
  </r>
  <r>
    <s v="بولا هومزمارت"/>
    <x v="1"/>
    <x v="9"/>
    <x v="0"/>
    <x v="0"/>
    <s v="فردى"/>
    <s v="اسبانى"/>
    <n v="120"/>
    <x v="0"/>
    <m/>
    <n v="5300"/>
    <s v="كاش"/>
    <x v="0"/>
    <x v="34"/>
    <d v="2024-11-11T00:00:00"/>
    <d v="2024-11-21T00:00:00"/>
    <s v="تم التسليم محمود على "/>
    <x v="0"/>
  </r>
  <r>
    <s v="فاطمه محمد"/>
    <x v="0"/>
    <x v="7"/>
    <x v="0"/>
    <x v="0"/>
    <s v="فردى"/>
    <s v="فورجينا"/>
    <n v="120"/>
    <x v="0"/>
    <m/>
    <n v="8943"/>
    <s v="كاش"/>
    <x v="0"/>
    <x v="35"/>
    <d v="2024-11-14T00:00:00"/>
    <d v="2024-11-18T00:00:00"/>
    <s v="تم التسليم محمود على "/>
    <x v="0"/>
  </r>
  <r>
    <s v="شيك هومز "/>
    <x v="1"/>
    <x v="4"/>
    <x v="1"/>
    <x v="2"/>
    <s v="4×1"/>
    <m/>
    <m/>
    <x v="1"/>
    <m/>
    <n v="15516"/>
    <s v="مسبق الدفع"/>
    <x v="1"/>
    <x v="36"/>
    <d v="2024-11-14T00:00:00"/>
    <d v="2024-10-30T00:00:00"/>
    <s v="تم التسليم محمود على "/>
    <x v="0"/>
  </r>
  <r>
    <s v="اوسكار راتن"/>
    <x v="1"/>
    <x v="33"/>
    <x v="4"/>
    <x v="0"/>
    <s v="دورين"/>
    <s v="نوفال"/>
    <n v="90"/>
    <x v="1"/>
    <m/>
    <n v="5294"/>
    <s v="حساب شركه"/>
    <x v="1"/>
    <x v="25"/>
    <d v="2024-11-27T00:00:00"/>
    <d v="2024-11-25T00:00:00"/>
    <s v="تم التسليم محمود على "/>
    <x v="0"/>
  </r>
  <r>
    <s v="ساره"/>
    <x v="0"/>
    <x v="21"/>
    <x v="0"/>
    <x v="0"/>
    <s v="دورين"/>
    <s v="كينج"/>
    <n v="90"/>
    <x v="1"/>
    <m/>
    <n v="11649"/>
    <s v="كاش"/>
    <x v="0"/>
    <x v="16"/>
    <d v="2024-11-10T00:00:00"/>
    <d v="2024-11-18T00:00:00"/>
    <s v="تم التسليم محمود على "/>
    <x v="0"/>
  </r>
  <r>
    <s v="اوسكار راتن"/>
    <x v="1"/>
    <x v="29"/>
    <x v="4"/>
    <x v="0"/>
    <s v="دورين"/>
    <s v="كيفنج"/>
    <n v="90"/>
    <x v="2"/>
    <m/>
    <n v="5217"/>
    <s v="حساب شركه"/>
    <x v="1"/>
    <x v="37"/>
    <d v="2024-12-14T00:00:00"/>
    <d v="2024-12-10T00:00:00"/>
    <s v="تم التسليم محمود على "/>
    <x v="0"/>
  </r>
  <r>
    <s v="بولا هومزمارت"/>
    <x v="1"/>
    <x v="9"/>
    <x v="0"/>
    <x v="0"/>
    <s v="فردى"/>
    <s v="اسبانى"/>
    <n v="100"/>
    <x v="0"/>
    <m/>
    <n v="5100"/>
    <s v="كاش"/>
    <x v="0"/>
    <x v="34"/>
    <d v="2024-11-11T00:00:00"/>
    <d v="2024-11-21T00:00:00"/>
    <s v="تم التسليم محمود على "/>
    <x v="0"/>
  </r>
  <r>
    <s v="محمد شكرى "/>
    <x v="0"/>
    <x v="5"/>
    <x v="0"/>
    <x v="0"/>
    <s v="دورين"/>
    <s v="كيفنج"/>
    <n v="80"/>
    <x v="0"/>
    <m/>
    <n v="12099"/>
    <s v="مسبق الدفع"/>
    <x v="0"/>
    <x v="38"/>
    <d v="2024-11-26T00:00:00"/>
    <d v="2024-11-27T00:00:00"/>
    <s v="تم التسليم محمود على "/>
    <x v="0"/>
  </r>
  <r>
    <s v="شيك هومز"/>
    <x v="1"/>
    <x v="4"/>
    <x v="1"/>
    <x v="2"/>
    <s v="4×1"/>
    <s v="ارينا"/>
    <m/>
    <x v="1"/>
    <m/>
    <n v="15872"/>
    <s v="مسبق"/>
    <x v="1"/>
    <x v="39"/>
    <d v="2024-11-27T00:00:00"/>
    <d v="2024-11-14T00:00:00"/>
    <s v="تم التسليم محمود على "/>
    <x v="0"/>
  </r>
  <r>
    <s v="اوسكار راتن"/>
    <x v="1"/>
    <x v="29"/>
    <x v="4"/>
    <x v="0"/>
    <s v="دورين"/>
    <s v="كيفنج"/>
    <n v="80"/>
    <x v="0"/>
    <m/>
    <n v="5074"/>
    <s v="حساب شركه"/>
    <x v="0"/>
    <x v="40"/>
    <d v="2024-10-05T00:00:00"/>
    <d v="2024-10-12T00:00:00"/>
    <s v="تم التسليم محمود على "/>
    <x v="0"/>
  </r>
  <r>
    <s v="الحج محمد السويس"/>
    <x v="1"/>
    <x v="27"/>
    <x v="5"/>
    <x v="0"/>
    <s v="منطبق"/>
    <m/>
    <m/>
    <x v="1"/>
    <m/>
    <n v="4600"/>
    <s v="كاش"/>
    <x v="1"/>
    <x v="23"/>
    <d v="2024-10-09T00:00:00"/>
    <d v="2024-10-09T00:00:00"/>
    <s v="تم التسليم بمعرفه الحج سيد "/>
    <x v="0"/>
  </r>
  <r>
    <s v="حماده"/>
    <x v="0"/>
    <x v="9"/>
    <x v="0"/>
    <x v="0"/>
    <s v="فردى"/>
    <s v="فورجينا"/>
    <n v="160"/>
    <x v="8"/>
    <m/>
    <n v="11395"/>
    <s v="مسبق الدفع"/>
    <x v="0"/>
    <x v="33"/>
    <d v="2024-11-24T00:00:00"/>
    <d v="2024-11-27T00:00:00"/>
    <s v="تم التسليم محمود على "/>
    <x v="0"/>
  </r>
  <r>
    <s v="صفاء عبد الباقي"/>
    <x v="0"/>
    <x v="5"/>
    <x v="0"/>
    <x v="0"/>
    <s v="دورين"/>
    <s v="كينج"/>
    <n v="80"/>
    <x v="0"/>
    <m/>
    <n v="12919"/>
    <s v="مسبق الدفع"/>
    <x v="1"/>
    <x v="25"/>
    <d v="2024-11-30T00:00:00"/>
    <d v="2024-11-27T00:00:00"/>
    <s v="تم التسليم محمود على "/>
    <x v="0"/>
  </r>
  <r>
    <s v="منزلى"/>
    <x v="1"/>
    <x v="5"/>
    <x v="6"/>
    <x v="0"/>
    <s v="فردى"/>
    <s v="فورجينا"/>
    <n v="120"/>
    <x v="0"/>
    <m/>
    <n v="4520"/>
    <s v="حساب شركه"/>
    <x v="1"/>
    <x v="41"/>
    <d v="2024-11-22T00:00:00"/>
    <d v="2024-11-21T00:00:00"/>
    <s v="تم التسليم محمود على "/>
    <x v="0"/>
  </r>
  <r>
    <s v="اوسكار راتن"/>
    <x v="1"/>
    <x v="34"/>
    <x v="4"/>
    <x v="0"/>
    <s v="فردى"/>
    <s v="فورجينا"/>
    <n v="120"/>
    <x v="0"/>
    <s v="٢ سريرفورجينا خشب موسكى ابيض مقاس ١٢٠"/>
    <n v="4020"/>
    <s v="حساب شركه"/>
    <x v="0"/>
    <x v="17"/>
    <d v="2024-09-21T00:00:00"/>
    <d v="2024-09-22T00:00:00"/>
    <s v="تم التسليم محمود على "/>
    <x v="0"/>
  </r>
  <r>
    <s v="رندا العامرى "/>
    <x v="0"/>
    <x v="7"/>
    <x v="7"/>
    <x v="0"/>
    <s v="دورين"/>
    <s v="كيفنج"/>
    <n v="80"/>
    <x v="0"/>
    <m/>
    <n v="7396"/>
    <s v="مسبق الدفع"/>
    <x v="1"/>
    <x v="42"/>
    <d v="2024-11-28T00:00:00"/>
    <d v="2024-11-26T00:00:00"/>
    <s v="تم التسليم محمود على "/>
    <x v="0"/>
  </r>
  <r>
    <s v="ساره"/>
    <x v="0"/>
    <x v="7"/>
    <x v="0"/>
    <x v="0"/>
    <s v="دورين"/>
    <s v="كينج"/>
    <n v="90"/>
    <x v="1"/>
    <m/>
    <n v="13439"/>
    <s v="كاش"/>
    <x v="1"/>
    <x v="43"/>
    <d v="2024-12-05T00:00:00"/>
    <d v="2024-11-26T00:00:00"/>
    <s v="تم التسليم محمود على "/>
    <x v="0"/>
  </r>
  <r>
    <s v="محمد حمدى"/>
    <x v="0"/>
    <x v="5"/>
    <x v="2"/>
    <x v="0"/>
    <s v="فردى"/>
    <s v="كورين"/>
    <n v="160"/>
    <x v="7"/>
    <m/>
    <n v="6000"/>
    <s v="كاش"/>
    <x v="1"/>
    <x v="44"/>
    <d v="2024-12-02T00:00:00"/>
    <d v="2024-11-27T00:00:00"/>
    <s v="تم التسليم محمود على "/>
    <x v="0"/>
  </r>
  <r>
    <s v="اوسكار راتن"/>
    <x v="1"/>
    <x v="34"/>
    <x v="4"/>
    <x v="0"/>
    <s v="فردى"/>
    <s v="ارفيل"/>
    <n v="120"/>
    <x v="1"/>
    <s v="٢ سرير ارفيل ١٢٠ اسود "/>
    <n v="4020"/>
    <s v="مسبق الدفع "/>
    <x v="0"/>
    <x v="17"/>
    <d v="2024-09-21T00:00:00"/>
    <d v="2024-09-22T00:00:00"/>
    <s v="تم التسليم محمود على "/>
    <x v="0"/>
  </r>
  <r>
    <s v="تاكى "/>
    <x v="1"/>
    <x v="6"/>
    <x v="3"/>
    <x v="2"/>
    <s v="كنبه"/>
    <s v="ارينا"/>
    <m/>
    <x v="3"/>
    <m/>
    <n v="6000"/>
    <s v="كاش"/>
    <x v="1"/>
    <x v="45"/>
    <d v="2024-12-05T00:00:00"/>
    <d v="2024-11-20T00:00:00"/>
    <s v="تم التسليم م محمد "/>
    <x v="0"/>
  </r>
  <r>
    <s v="رنا ميلاد"/>
    <x v="0"/>
    <x v="35"/>
    <x v="0"/>
    <x v="1"/>
    <s v="2 ميكانزم"/>
    <s v="مكتبه"/>
    <m/>
    <x v="3"/>
    <m/>
    <n v="8449"/>
    <s v="مسبق الدفع"/>
    <x v="0"/>
    <x v="46"/>
    <d v="2024-12-10T00:00:00"/>
    <d v="2024-12-23T00:00:00"/>
    <s v="تم التسليم عن طريق شركه شحن "/>
    <x v="0"/>
  </r>
  <r>
    <s v="محمد ناجى"/>
    <x v="0"/>
    <x v="10"/>
    <x v="0"/>
    <x v="1"/>
    <s v="دورين"/>
    <s v="ميكانزم"/>
    <m/>
    <x v="0"/>
    <m/>
    <n v="10249"/>
    <s v="كاش"/>
    <x v="0"/>
    <x v="46"/>
    <d v="2024-12-10T00:00:00"/>
    <d v="2024-12-19T00:00:00"/>
    <s v="تم التسليم محمود على "/>
    <x v="0"/>
  </r>
  <r>
    <s v="احمد عبد الستار"/>
    <x v="0"/>
    <x v="36"/>
    <x v="0"/>
    <x v="0"/>
    <s v="دورين"/>
    <s v="كيفنج"/>
    <n v="100"/>
    <x v="1"/>
    <m/>
    <n v="14905"/>
    <s v="مسبق الدفع"/>
    <x v="1"/>
    <x v="47"/>
    <d v="2024-12-15T00:00:00"/>
    <m/>
    <s v="لفي الطلب"/>
    <x v="2"/>
  </r>
  <r>
    <s v="هناء اسامه"/>
    <x v="0"/>
    <x v="15"/>
    <x v="0"/>
    <x v="0"/>
    <s v="دورين"/>
    <s v="نوفال"/>
    <n v="80"/>
    <x v="0"/>
    <m/>
    <n v="12099"/>
    <s v="مسبق الدفع"/>
    <x v="1"/>
    <x v="48"/>
    <d v="2024-12-17T00:00:00"/>
    <m/>
    <s v="لفي الطلب"/>
    <x v="2"/>
  </r>
  <r>
    <s v="اوسكار راتن"/>
    <x v="1"/>
    <x v="29"/>
    <x v="4"/>
    <x v="0"/>
    <s v="فردى"/>
    <s v="فورجينا"/>
    <n v="120"/>
    <x v="0"/>
    <m/>
    <n v="4020"/>
    <s v="حساب شركه"/>
    <x v="1"/>
    <x v="24"/>
    <d v="2024-10-12T00:00:00"/>
    <d v="2024-10-12T00:00:00"/>
    <s v="تم التسليم محمود على "/>
    <x v="0"/>
  </r>
  <r>
    <s v="محمد عادل "/>
    <x v="0"/>
    <x v="22"/>
    <x v="0"/>
    <x v="0"/>
    <s v="منطبق"/>
    <m/>
    <m/>
    <x v="1"/>
    <m/>
    <n v="10249"/>
    <s v="كاش"/>
    <x v="0"/>
    <x v="49"/>
    <d v="2024-12-14T00:00:00"/>
    <d v="2024-12-19T00:00:00"/>
    <s v="تم التسليم محمود على "/>
    <x v="0"/>
  </r>
  <r>
    <s v="مريم عنان"/>
    <x v="0"/>
    <x v="37"/>
    <x v="1"/>
    <x v="0"/>
    <s v="دورين"/>
    <s v="كينج"/>
    <m/>
    <x v="1"/>
    <m/>
    <n v="10445"/>
    <s v="كاش"/>
    <x v="1"/>
    <x v="50"/>
    <d v="2024-12-31T00:00:00"/>
    <d v="2024-12-12T00:00:00"/>
    <s v="تم التسليم محمود على "/>
    <x v="0"/>
  </r>
  <r>
    <s v="هبه عطيه "/>
    <x v="0"/>
    <x v="5"/>
    <x v="0"/>
    <x v="1"/>
    <s v="دورين"/>
    <s v="ميكانزم"/>
    <m/>
    <x v="1"/>
    <m/>
    <n v="11199"/>
    <s v="كاش"/>
    <x v="1"/>
    <x v="51"/>
    <d v="2024-12-24T00:00:00"/>
    <d v="2024-12-19T00:00:00"/>
    <s v="تم التسليم محمود على "/>
    <x v="0"/>
  </r>
  <r>
    <s v="حمدى ذكرى"/>
    <x v="0"/>
    <x v="7"/>
    <x v="0"/>
    <x v="0"/>
    <s v="دورين"/>
    <s v="نوفال"/>
    <n v="80"/>
    <x v="1"/>
    <m/>
    <n v="13099"/>
    <s v="كاش"/>
    <x v="0"/>
    <x v="51"/>
    <d v="2024-12-28T00:00:00"/>
    <d v="2024-12-29T00:00:00"/>
    <s v="تم التسليم محمود على "/>
    <x v="0"/>
  </r>
  <r>
    <s v="شيك هومز"/>
    <x v="1"/>
    <x v="4"/>
    <x v="1"/>
    <x v="2"/>
    <s v="4×1"/>
    <s v="ارينا"/>
    <m/>
    <x v="1"/>
    <m/>
    <n v="8700"/>
    <s v="حساب شركه"/>
    <x v="1"/>
    <x v="52"/>
    <d v="2025-01-05T00:00:00"/>
    <d v="2024-12-29T00:00:00"/>
    <s v="تم التسليم محمود على "/>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C91D26-14EC-43BC-96DE-53A19358CC17}"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A4:AB15" firstHeaderRow="1" firstDataRow="1" firstDataCol="1"/>
  <pivotFields count="20">
    <pivotField showAll="0"/>
    <pivotField showAll="0">
      <items count="3">
        <item x="1"/>
        <item x="0"/>
        <item t="default"/>
      </items>
    </pivotField>
    <pivotField showAll="0"/>
    <pivotField showAll="0"/>
    <pivotField showAll="0" sortType="descending">
      <items count="7">
        <item x="1"/>
        <item x="3"/>
        <item x="0"/>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12">
        <item x="0"/>
        <item x="2"/>
        <item x="1"/>
        <item x="6"/>
        <item x="8"/>
        <item x="5"/>
        <item x="7"/>
        <item x="4"/>
        <item x="9"/>
        <item x="10"/>
        <item h="1" x="3"/>
        <item t="default"/>
      </items>
      <autoSortScope>
        <pivotArea dataOnly="0" outline="0" fieldPosition="0">
          <references count="1">
            <reference field="4294967294" count="1" selected="0">
              <x v="0"/>
            </reference>
          </references>
        </pivotArea>
      </autoSortScope>
    </pivotField>
    <pivotField showAll="0"/>
    <pivotField dataField="1" numFmtId="1" showAll="0"/>
    <pivotField showAll="0"/>
    <pivotField showAll="0">
      <items count="3">
        <item x="0"/>
        <item x="1"/>
        <item t="default"/>
      </items>
    </pivotField>
    <pivotField numFmtId="164" showAll="0">
      <items count="54">
        <item x="0"/>
        <item x="1"/>
        <item x="4"/>
        <item x="3"/>
        <item x="5"/>
        <item x="7"/>
        <item x="2"/>
        <item x="8"/>
        <item x="11"/>
        <item x="10"/>
        <item x="9"/>
        <item x="13"/>
        <item x="14"/>
        <item x="17"/>
        <item x="19"/>
        <item x="18"/>
        <item x="20"/>
        <item x="21"/>
        <item x="40"/>
        <item x="29"/>
        <item x="22"/>
        <item x="24"/>
        <item x="23"/>
        <item x="27"/>
        <item x="26"/>
        <item x="28"/>
        <item x="6"/>
        <item x="30"/>
        <item x="31"/>
        <item x="32"/>
        <item x="35"/>
        <item x="12"/>
        <item x="36"/>
        <item x="16"/>
        <item x="34"/>
        <item x="39"/>
        <item x="41"/>
        <item x="38"/>
        <item x="33"/>
        <item x="25"/>
        <item x="42"/>
        <item x="45"/>
        <item x="43"/>
        <item x="44"/>
        <item x="15"/>
        <item x="46"/>
        <item x="47"/>
        <item x="37"/>
        <item x="48"/>
        <item x="49"/>
        <item x="50"/>
        <item x="51"/>
        <item x="52"/>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8"/>
  </rowFields>
  <rowItems count="11">
    <i>
      <x v="2"/>
    </i>
    <i>
      <x/>
    </i>
    <i>
      <x v="7"/>
    </i>
    <i>
      <x v="1"/>
    </i>
    <i>
      <x v="5"/>
    </i>
    <i>
      <x v="4"/>
    </i>
    <i>
      <x v="3"/>
    </i>
    <i>
      <x v="6"/>
    </i>
    <i>
      <x v="8"/>
    </i>
    <i>
      <x v="9"/>
    </i>
    <i t="grand">
      <x/>
    </i>
  </rowItems>
  <colItems count="1">
    <i/>
  </colItems>
  <dataFields count="1">
    <dataField name="Sum of السعر" fld="10" showDataAs="percentOfTotal" baseField="8" baseItem="2" numFmtId="10"/>
  </dataFields>
  <formats count="10">
    <format dxfId="9">
      <pivotArea collapsedLevelsAreSubtotals="1" fieldPosition="0">
        <references count="1">
          <reference field="8" count="1">
            <x v="2"/>
          </reference>
        </references>
      </pivotArea>
    </format>
    <format dxfId="8">
      <pivotArea dataOnly="0" labelOnly="1" fieldPosition="0">
        <references count="1">
          <reference field="8" count="1">
            <x v="2"/>
          </reference>
        </references>
      </pivotArea>
    </format>
    <format dxfId="7">
      <pivotArea type="all" dataOnly="0" outline="0" fieldPosition="0"/>
    </format>
    <format dxfId="6">
      <pivotArea outline="0" collapsedLevelsAreSubtotals="1" fieldPosition="0"/>
    </format>
    <format dxfId="5">
      <pivotArea field="8" type="button" dataOnly="0" labelOnly="1" outline="0" axis="axisRow" fieldPosition="0"/>
    </format>
    <format dxfId="4">
      <pivotArea dataOnly="0" labelOnly="1" fieldPosition="0">
        <references count="1">
          <reference field="8" count="0"/>
        </references>
      </pivotArea>
    </format>
    <format dxfId="3">
      <pivotArea dataOnly="0" labelOnly="1" grandRow="1" outline="0" fieldPosition="0"/>
    </format>
    <format dxfId="2">
      <pivotArea dataOnly="0" labelOnly="1" outline="0" axis="axisValues" fieldPosition="0"/>
    </format>
    <format dxfId="1">
      <pivotArea outline="0" fieldPosition="0">
        <references count="1">
          <reference field="4294967294" count="1">
            <x v="0"/>
          </reference>
        </references>
      </pivotArea>
    </format>
    <format dxfId="0">
      <pivotArea collapsedLevelsAreSubtotals="1" fieldPosition="0">
        <references count="1">
          <reference field="8" count="0"/>
        </references>
      </pivotArea>
    </format>
  </formats>
  <chartFormats count="51">
    <chartFormat chart="10" format="35" series="1">
      <pivotArea type="data" outline="0" fieldPosition="0">
        <references count="1">
          <reference field="4294967294" count="1" selected="0">
            <x v="0"/>
          </reference>
        </references>
      </pivotArea>
    </chartFormat>
    <chartFormat chart="10" format="36">
      <pivotArea type="data" outline="0" fieldPosition="0">
        <references count="2">
          <reference field="4294967294" count="1" selected="0">
            <x v="0"/>
          </reference>
          <reference field="8" count="1" selected="0">
            <x v="7"/>
          </reference>
        </references>
      </pivotArea>
    </chartFormat>
    <chartFormat chart="10" format="37">
      <pivotArea type="data" outline="0" fieldPosition="0">
        <references count="2">
          <reference field="4294967294" count="1" selected="0">
            <x v="0"/>
          </reference>
          <reference field="8" count="1" selected="0">
            <x v="1"/>
          </reference>
        </references>
      </pivotArea>
    </chartFormat>
    <chartFormat chart="10" format="38">
      <pivotArea type="data" outline="0" fieldPosition="0">
        <references count="2">
          <reference field="4294967294" count="1" selected="0">
            <x v="0"/>
          </reference>
          <reference field="8" count="1" selected="0">
            <x v="5"/>
          </reference>
        </references>
      </pivotArea>
    </chartFormat>
    <chartFormat chart="10" format="39">
      <pivotArea type="data" outline="0" fieldPosition="0">
        <references count="2">
          <reference field="4294967294" count="1" selected="0">
            <x v="0"/>
          </reference>
          <reference field="8" count="1" selected="0">
            <x v="4"/>
          </reference>
        </references>
      </pivotArea>
    </chartFormat>
    <chartFormat chart="10" format="40">
      <pivotArea type="data" outline="0" fieldPosition="0">
        <references count="2">
          <reference field="4294967294" count="1" selected="0">
            <x v="0"/>
          </reference>
          <reference field="8" count="1" selected="0">
            <x v="3"/>
          </reference>
        </references>
      </pivotArea>
    </chartFormat>
    <chartFormat chart="10" format="41">
      <pivotArea type="data" outline="0" fieldPosition="0">
        <references count="2">
          <reference field="4294967294" count="1" selected="0">
            <x v="0"/>
          </reference>
          <reference field="8" count="1" selected="0">
            <x v="6"/>
          </reference>
        </references>
      </pivotArea>
    </chartFormat>
    <chartFormat chart="10" format="42">
      <pivotArea type="data" outline="0" fieldPosition="0">
        <references count="2">
          <reference field="4294967294" count="1" selected="0">
            <x v="0"/>
          </reference>
          <reference field="8" count="1" selected="0">
            <x v="8"/>
          </reference>
        </references>
      </pivotArea>
    </chartFormat>
    <chartFormat chart="10" format="43">
      <pivotArea type="data" outline="0" fieldPosition="0">
        <references count="2">
          <reference field="4294967294" count="1" selected="0">
            <x v="0"/>
          </reference>
          <reference field="8" count="1" selected="0">
            <x v="9"/>
          </reference>
        </references>
      </pivotArea>
    </chartFormat>
    <chartFormat chart="11" format="44" series="1">
      <pivotArea type="data" outline="0" fieldPosition="0">
        <references count="1">
          <reference field="4294967294" count="1" selected="0">
            <x v="0"/>
          </reference>
        </references>
      </pivotArea>
    </chartFormat>
    <chartFormat chart="11" format="45">
      <pivotArea type="data" outline="0" fieldPosition="0">
        <references count="2">
          <reference field="4294967294" count="1" selected="0">
            <x v="0"/>
          </reference>
          <reference field="8" count="1" selected="0">
            <x v="7"/>
          </reference>
        </references>
      </pivotArea>
    </chartFormat>
    <chartFormat chart="11" format="46">
      <pivotArea type="data" outline="0" fieldPosition="0">
        <references count="2">
          <reference field="4294967294" count="1" selected="0">
            <x v="0"/>
          </reference>
          <reference field="8" count="1" selected="0">
            <x v="1"/>
          </reference>
        </references>
      </pivotArea>
    </chartFormat>
    <chartFormat chart="11" format="47">
      <pivotArea type="data" outline="0" fieldPosition="0">
        <references count="2">
          <reference field="4294967294" count="1" selected="0">
            <x v="0"/>
          </reference>
          <reference field="8" count="1" selected="0">
            <x v="5"/>
          </reference>
        </references>
      </pivotArea>
    </chartFormat>
    <chartFormat chart="11" format="48">
      <pivotArea type="data" outline="0" fieldPosition="0">
        <references count="2">
          <reference field="4294967294" count="1" selected="0">
            <x v="0"/>
          </reference>
          <reference field="8" count="1" selected="0">
            <x v="4"/>
          </reference>
        </references>
      </pivotArea>
    </chartFormat>
    <chartFormat chart="11" format="49">
      <pivotArea type="data" outline="0" fieldPosition="0">
        <references count="2">
          <reference field="4294967294" count="1" selected="0">
            <x v="0"/>
          </reference>
          <reference field="8" count="1" selected="0">
            <x v="3"/>
          </reference>
        </references>
      </pivotArea>
    </chartFormat>
    <chartFormat chart="11" format="50">
      <pivotArea type="data" outline="0" fieldPosition="0">
        <references count="2">
          <reference field="4294967294" count="1" selected="0">
            <x v="0"/>
          </reference>
          <reference field="8" count="1" selected="0">
            <x v="6"/>
          </reference>
        </references>
      </pivotArea>
    </chartFormat>
    <chartFormat chart="11" format="51">
      <pivotArea type="data" outline="0" fieldPosition="0">
        <references count="2">
          <reference field="4294967294" count="1" selected="0">
            <x v="0"/>
          </reference>
          <reference field="8" count="1" selected="0">
            <x v="8"/>
          </reference>
        </references>
      </pivotArea>
    </chartFormat>
    <chartFormat chart="11" format="52">
      <pivotArea type="data" outline="0" fieldPosition="0">
        <references count="2">
          <reference field="4294967294" count="1" selected="0">
            <x v="0"/>
          </reference>
          <reference field="8" count="1" selected="0">
            <x v="9"/>
          </reference>
        </references>
      </pivotArea>
    </chartFormat>
    <chartFormat chart="13" format="55" series="1">
      <pivotArea type="data" outline="0" fieldPosition="0">
        <references count="1">
          <reference field="4294967294" count="1" selected="0">
            <x v="0"/>
          </reference>
        </references>
      </pivotArea>
    </chartFormat>
    <chartFormat chart="13" format="56">
      <pivotArea type="data" outline="0" fieldPosition="0">
        <references count="2">
          <reference field="4294967294" count="1" selected="0">
            <x v="0"/>
          </reference>
          <reference field="8" count="1" selected="0">
            <x v="2"/>
          </reference>
        </references>
      </pivotArea>
    </chartFormat>
    <chartFormat chart="13" format="57">
      <pivotArea type="data" outline="0" fieldPosition="0">
        <references count="2">
          <reference field="4294967294" count="1" selected="0">
            <x v="0"/>
          </reference>
          <reference field="8" count="1" selected="0">
            <x v="0"/>
          </reference>
        </references>
      </pivotArea>
    </chartFormat>
    <chartFormat chart="13" format="58">
      <pivotArea type="data" outline="0" fieldPosition="0">
        <references count="2">
          <reference field="4294967294" count="1" selected="0">
            <x v="0"/>
          </reference>
          <reference field="8" count="1" selected="0">
            <x v="7"/>
          </reference>
        </references>
      </pivotArea>
    </chartFormat>
    <chartFormat chart="13" format="59">
      <pivotArea type="data" outline="0" fieldPosition="0">
        <references count="2">
          <reference field="4294967294" count="1" selected="0">
            <x v="0"/>
          </reference>
          <reference field="8" count="1" selected="0">
            <x v="1"/>
          </reference>
        </references>
      </pivotArea>
    </chartFormat>
    <chartFormat chart="13" format="60">
      <pivotArea type="data" outline="0" fieldPosition="0">
        <references count="2">
          <reference field="4294967294" count="1" selected="0">
            <x v="0"/>
          </reference>
          <reference field="8" count="1" selected="0">
            <x v="5"/>
          </reference>
        </references>
      </pivotArea>
    </chartFormat>
    <chartFormat chart="13" format="61">
      <pivotArea type="data" outline="0" fieldPosition="0">
        <references count="2">
          <reference field="4294967294" count="1" selected="0">
            <x v="0"/>
          </reference>
          <reference field="8" count="1" selected="0">
            <x v="4"/>
          </reference>
        </references>
      </pivotArea>
    </chartFormat>
    <chartFormat chart="13" format="62">
      <pivotArea type="data" outline="0" fieldPosition="0">
        <references count="2">
          <reference field="4294967294" count="1" selected="0">
            <x v="0"/>
          </reference>
          <reference field="8" count="1" selected="0">
            <x v="3"/>
          </reference>
        </references>
      </pivotArea>
    </chartFormat>
    <chartFormat chart="13" format="63">
      <pivotArea type="data" outline="0" fieldPosition="0">
        <references count="2">
          <reference field="4294967294" count="1" selected="0">
            <x v="0"/>
          </reference>
          <reference field="8" count="1" selected="0">
            <x v="6"/>
          </reference>
        </references>
      </pivotArea>
    </chartFormat>
    <chartFormat chart="13" format="64">
      <pivotArea type="data" outline="0" fieldPosition="0">
        <references count="2">
          <reference field="4294967294" count="1" selected="0">
            <x v="0"/>
          </reference>
          <reference field="8" count="1" selected="0">
            <x v="8"/>
          </reference>
        </references>
      </pivotArea>
    </chartFormat>
    <chartFormat chart="13" format="65">
      <pivotArea type="data" outline="0" fieldPosition="0">
        <references count="2">
          <reference field="4294967294" count="1" selected="0">
            <x v="0"/>
          </reference>
          <reference field="8" count="1" selected="0">
            <x v="9"/>
          </reference>
        </references>
      </pivotArea>
    </chartFormat>
    <chartFormat chart="14" format="66" series="1">
      <pivotArea type="data" outline="0" fieldPosition="0">
        <references count="1">
          <reference field="4294967294" count="1" selected="0">
            <x v="0"/>
          </reference>
        </references>
      </pivotArea>
    </chartFormat>
    <chartFormat chart="14" format="67">
      <pivotArea type="data" outline="0" fieldPosition="0">
        <references count="2">
          <reference field="4294967294" count="1" selected="0">
            <x v="0"/>
          </reference>
          <reference field="8" count="1" selected="0">
            <x v="2"/>
          </reference>
        </references>
      </pivotArea>
    </chartFormat>
    <chartFormat chart="14" format="68">
      <pivotArea type="data" outline="0" fieldPosition="0">
        <references count="2">
          <reference field="4294967294" count="1" selected="0">
            <x v="0"/>
          </reference>
          <reference field="8" count="1" selected="0">
            <x v="0"/>
          </reference>
        </references>
      </pivotArea>
    </chartFormat>
    <chartFormat chart="14" format="69">
      <pivotArea type="data" outline="0" fieldPosition="0">
        <references count="2">
          <reference field="4294967294" count="1" selected="0">
            <x v="0"/>
          </reference>
          <reference field="8" count="1" selected="0">
            <x v="7"/>
          </reference>
        </references>
      </pivotArea>
    </chartFormat>
    <chartFormat chart="14" format="70">
      <pivotArea type="data" outline="0" fieldPosition="0">
        <references count="2">
          <reference field="4294967294" count="1" selected="0">
            <x v="0"/>
          </reference>
          <reference field="8" count="1" selected="0">
            <x v="1"/>
          </reference>
        </references>
      </pivotArea>
    </chartFormat>
    <chartFormat chart="14" format="71">
      <pivotArea type="data" outline="0" fieldPosition="0">
        <references count="2">
          <reference field="4294967294" count="1" selected="0">
            <x v="0"/>
          </reference>
          <reference field="8" count="1" selected="0">
            <x v="5"/>
          </reference>
        </references>
      </pivotArea>
    </chartFormat>
    <chartFormat chart="14" format="72">
      <pivotArea type="data" outline="0" fieldPosition="0">
        <references count="2">
          <reference field="4294967294" count="1" selected="0">
            <x v="0"/>
          </reference>
          <reference field="8" count="1" selected="0">
            <x v="4"/>
          </reference>
        </references>
      </pivotArea>
    </chartFormat>
    <chartFormat chart="14" format="73">
      <pivotArea type="data" outline="0" fieldPosition="0">
        <references count="2">
          <reference field="4294967294" count="1" selected="0">
            <x v="0"/>
          </reference>
          <reference field="8" count="1" selected="0">
            <x v="3"/>
          </reference>
        </references>
      </pivotArea>
    </chartFormat>
    <chartFormat chart="14" format="74">
      <pivotArea type="data" outline="0" fieldPosition="0">
        <references count="2">
          <reference field="4294967294" count="1" selected="0">
            <x v="0"/>
          </reference>
          <reference field="8" count="1" selected="0">
            <x v="6"/>
          </reference>
        </references>
      </pivotArea>
    </chartFormat>
    <chartFormat chart="14" format="75">
      <pivotArea type="data" outline="0" fieldPosition="0">
        <references count="2">
          <reference field="4294967294" count="1" selected="0">
            <x v="0"/>
          </reference>
          <reference field="8" count="1" selected="0">
            <x v="8"/>
          </reference>
        </references>
      </pivotArea>
    </chartFormat>
    <chartFormat chart="14" format="76">
      <pivotArea type="data" outline="0" fieldPosition="0">
        <references count="2">
          <reference field="4294967294" count="1" selected="0">
            <x v="0"/>
          </reference>
          <reference field="8" count="1" selected="0">
            <x v="9"/>
          </reference>
        </references>
      </pivotArea>
    </chartFormat>
    <chartFormat chart="20" format="88" series="1">
      <pivotArea type="data" outline="0" fieldPosition="0">
        <references count="1">
          <reference field="4294967294" count="1" selected="0">
            <x v="0"/>
          </reference>
        </references>
      </pivotArea>
    </chartFormat>
    <chartFormat chart="20" format="89">
      <pivotArea type="data" outline="0" fieldPosition="0">
        <references count="2">
          <reference field="4294967294" count="1" selected="0">
            <x v="0"/>
          </reference>
          <reference field="8" count="1" selected="0">
            <x v="2"/>
          </reference>
        </references>
      </pivotArea>
    </chartFormat>
    <chartFormat chart="20" format="90">
      <pivotArea type="data" outline="0" fieldPosition="0">
        <references count="2">
          <reference field="4294967294" count="1" selected="0">
            <x v="0"/>
          </reference>
          <reference field="8" count="1" selected="0">
            <x v="0"/>
          </reference>
        </references>
      </pivotArea>
    </chartFormat>
    <chartFormat chart="20" format="91">
      <pivotArea type="data" outline="0" fieldPosition="0">
        <references count="2">
          <reference field="4294967294" count="1" selected="0">
            <x v="0"/>
          </reference>
          <reference field="8" count="1" selected="0">
            <x v="7"/>
          </reference>
        </references>
      </pivotArea>
    </chartFormat>
    <chartFormat chart="20" format="92">
      <pivotArea type="data" outline="0" fieldPosition="0">
        <references count="2">
          <reference field="4294967294" count="1" selected="0">
            <x v="0"/>
          </reference>
          <reference field="8" count="1" selected="0">
            <x v="1"/>
          </reference>
        </references>
      </pivotArea>
    </chartFormat>
    <chartFormat chart="20" format="93">
      <pivotArea type="data" outline="0" fieldPosition="0">
        <references count="2">
          <reference field="4294967294" count="1" selected="0">
            <x v="0"/>
          </reference>
          <reference field="8" count="1" selected="0">
            <x v="5"/>
          </reference>
        </references>
      </pivotArea>
    </chartFormat>
    <chartFormat chart="20" format="94">
      <pivotArea type="data" outline="0" fieldPosition="0">
        <references count="2">
          <reference field="4294967294" count="1" selected="0">
            <x v="0"/>
          </reference>
          <reference field="8" count="1" selected="0">
            <x v="4"/>
          </reference>
        </references>
      </pivotArea>
    </chartFormat>
    <chartFormat chart="20" format="95">
      <pivotArea type="data" outline="0" fieldPosition="0">
        <references count="2">
          <reference field="4294967294" count="1" selected="0">
            <x v="0"/>
          </reference>
          <reference field="8" count="1" selected="0">
            <x v="3"/>
          </reference>
        </references>
      </pivotArea>
    </chartFormat>
    <chartFormat chart="20" format="96">
      <pivotArea type="data" outline="0" fieldPosition="0">
        <references count="2">
          <reference field="4294967294" count="1" selected="0">
            <x v="0"/>
          </reference>
          <reference field="8" count="1" selected="0">
            <x v="6"/>
          </reference>
        </references>
      </pivotArea>
    </chartFormat>
    <chartFormat chart="20" format="97">
      <pivotArea type="data" outline="0" fieldPosition="0">
        <references count="2">
          <reference field="4294967294" count="1" selected="0">
            <x v="0"/>
          </reference>
          <reference field="8" count="1" selected="0">
            <x v="8"/>
          </reference>
        </references>
      </pivotArea>
    </chartFormat>
    <chartFormat chart="20" format="98">
      <pivotArea type="data" outline="0" fieldPosition="0">
        <references count="2">
          <reference field="4294967294" count="1" selected="0">
            <x v="0"/>
          </reference>
          <reference field="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649B40-1810-4DBB-8F41-7F9E3058FDB6}"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V5:W12" firstHeaderRow="1" firstDataRow="1" firstDataCol="1"/>
  <pivotFields count="20">
    <pivotField showAll="0"/>
    <pivotField showAll="0">
      <items count="3">
        <item x="1"/>
        <item x="0"/>
        <item t="default"/>
      </items>
    </pivotField>
    <pivotField showAll="0"/>
    <pivotField showAll="0"/>
    <pivotField axis="axisRow" showAll="0" sortType="descending">
      <items count="7">
        <item x="1"/>
        <item x="3"/>
        <item x="0"/>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1" showAll="0"/>
    <pivotField showAll="0"/>
    <pivotField showAll="0">
      <items count="3">
        <item x="0"/>
        <item x="1"/>
        <item t="default"/>
      </items>
    </pivotField>
    <pivotField numFmtId="164" showAll="0">
      <items count="54">
        <item x="0"/>
        <item x="1"/>
        <item x="4"/>
        <item x="3"/>
        <item x="5"/>
        <item x="7"/>
        <item x="2"/>
        <item x="8"/>
        <item x="11"/>
        <item x="10"/>
        <item x="9"/>
        <item x="13"/>
        <item x="14"/>
        <item x="17"/>
        <item x="19"/>
        <item x="18"/>
        <item x="20"/>
        <item x="21"/>
        <item x="40"/>
        <item x="29"/>
        <item x="22"/>
        <item x="24"/>
        <item x="23"/>
        <item x="27"/>
        <item x="26"/>
        <item x="28"/>
        <item x="6"/>
        <item x="30"/>
        <item x="31"/>
        <item x="32"/>
        <item x="35"/>
        <item x="12"/>
        <item x="36"/>
        <item x="16"/>
        <item x="34"/>
        <item x="39"/>
        <item x="41"/>
        <item x="38"/>
        <item x="33"/>
        <item x="25"/>
        <item x="42"/>
        <item x="45"/>
        <item x="43"/>
        <item x="44"/>
        <item x="15"/>
        <item x="46"/>
        <item x="47"/>
        <item x="37"/>
        <item x="48"/>
        <item x="49"/>
        <item x="50"/>
        <item x="51"/>
        <item x="52"/>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4"/>
  </rowFields>
  <rowItems count="7">
    <i>
      <x v="2"/>
    </i>
    <i>
      <x v="5"/>
    </i>
    <i>
      <x/>
    </i>
    <i>
      <x v="1"/>
    </i>
    <i>
      <x v="3"/>
    </i>
    <i>
      <x v="4"/>
    </i>
    <i t="grand">
      <x/>
    </i>
  </rowItems>
  <colItems count="1">
    <i/>
  </colItems>
  <dataFields count="1">
    <dataField name="Sum of السعر" fld="10" baseField="4" baseItem="0" numFmtId="1"/>
  </dataFields>
  <formats count="2">
    <format dxfId="11">
      <pivotArea dataOnly="0" fieldPosition="0">
        <references count="1">
          <reference field="4" count="1">
            <x v="2"/>
          </reference>
        </references>
      </pivotArea>
    </format>
    <format dxfId="10">
      <pivotArea collapsedLevelsAreSubtotals="1" fieldPosition="0">
        <references count="1">
          <reference field="4" count="0"/>
        </references>
      </pivotArea>
    </format>
  </formats>
  <chartFormats count="4">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4" count="1" selected="0">
            <x v="5"/>
          </reference>
        </references>
      </pivotArea>
    </chartFormat>
    <chartFormat chart="9" format="12">
      <pivotArea type="data" outline="0" fieldPosition="0">
        <references count="2">
          <reference field="4294967294" count="1" selected="0">
            <x v="0"/>
          </reference>
          <reference field="4" count="1" selected="0">
            <x v="0"/>
          </reference>
        </references>
      </pivotArea>
    </chartFormat>
    <chartFormat chart="9" format="1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265BDC-D7E0-404C-A3D5-2C9BE9A886A6}"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F5:AG8" firstHeaderRow="1" firstDataRow="1" firstDataCol="1"/>
  <pivotFields count="20">
    <pivotField showAll="0"/>
    <pivotField showAll="0">
      <items count="3">
        <item x="1"/>
        <item x="0"/>
        <item t="default"/>
      </items>
    </pivotField>
    <pivotField showAll="0"/>
    <pivotField showAll="0"/>
    <pivotField showAll="0">
      <items count="7">
        <item x="1"/>
        <item x="3"/>
        <item x="0"/>
        <item x="5"/>
        <item x="4"/>
        <item x="2"/>
        <item t="default"/>
      </items>
    </pivotField>
    <pivotField showAll="0"/>
    <pivotField showAll="0"/>
    <pivotField showAll="0"/>
    <pivotField showAll="0"/>
    <pivotField showAll="0"/>
    <pivotField numFmtId="1"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dataField="1" numFmtId="164" showAll="0">
      <items count="54">
        <item x="0"/>
        <item x="1"/>
        <item x="4"/>
        <item x="3"/>
        <item x="5"/>
        <item x="7"/>
        <item x="2"/>
        <item x="8"/>
        <item x="11"/>
        <item x="10"/>
        <item x="9"/>
        <item x="13"/>
        <item x="14"/>
        <item x="17"/>
        <item x="19"/>
        <item x="18"/>
        <item x="20"/>
        <item x="21"/>
        <item x="40"/>
        <item x="29"/>
        <item x="22"/>
        <item x="24"/>
        <item x="23"/>
        <item x="27"/>
        <item x="26"/>
        <item x="28"/>
        <item x="6"/>
        <item x="30"/>
        <item x="31"/>
        <item x="32"/>
        <item x="35"/>
        <item x="12"/>
        <item x="36"/>
        <item x="16"/>
        <item x="34"/>
        <item x="39"/>
        <item x="41"/>
        <item x="38"/>
        <item x="33"/>
        <item x="25"/>
        <item x="42"/>
        <item x="45"/>
        <item x="43"/>
        <item x="44"/>
        <item x="15"/>
        <item x="46"/>
        <item x="47"/>
        <item x="37"/>
        <item x="48"/>
        <item x="49"/>
        <item x="50"/>
        <item x="51"/>
        <item x="52"/>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2"/>
  </rowFields>
  <rowItems count="3">
    <i>
      <x v="1"/>
    </i>
    <i>
      <x/>
    </i>
    <i t="grand">
      <x/>
    </i>
  </rowItems>
  <colItems count="1">
    <i/>
  </colItems>
  <dataFields count="1">
    <dataField name="Count of ميعاد الطلب" fld="13" subtotal="count" baseField="0" baseItem="0"/>
  </dataFields>
  <formats count="1">
    <format dxfId="12">
      <pivotArea dataOnly="0" fieldPosition="0">
        <references count="1">
          <reference field="12" count="1">
            <x v="1"/>
          </reference>
        </references>
      </pivotArea>
    </format>
  </formats>
  <chartFormats count="3">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2" count="1" selected="0">
            <x v="1"/>
          </reference>
        </references>
      </pivotArea>
    </chartFormat>
    <chartFormat chart="10" format="14">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90166B-1399-4A4E-A084-73E74A275B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Z5:AZ13" firstHeaderRow="1" firstDataRow="1" firstDataCol="1"/>
  <pivotFields count="2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numFmtId="164" showAll="0">
      <items count="54">
        <item x="0"/>
        <item x="1"/>
        <item x="4"/>
        <item x="3"/>
        <item x="5"/>
        <item x="7"/>
        <item x="2"/>
        <item x="8"/>
        <item x="11"/>
        <item x="10"/>
        <item x="9"/>
        <item x="13"/>
        <item x="14"/>
        <item x="17"/>
        <item x="19"/>
        <item x="18"/>
        <item x="20"/>
        <item x="21"/>
        <item x="40"/>
        <item x="29"/>
        <item x="22"/>
        <item x="24"/>
        <item x="23"/>
        <item x="27"/>
        <item x="26"/>
        <item x="28"/>
        <item x="6"/>
        <item x="30"/>
        <item x="31"/>
        <item x="32"/>
        <item x="35"/>
        <item x="12"/>
        <item x="36"/>
        <item x="16"/>
        <item x="34"/>
        <item x="39"/>
        <item x="41"/>
        <item x="38"/>
        <item x="33"/>
        <item x="25"/>
        <item x="42"/>
        <item x="45"/>
        <item x="43"/>
        <item x="44"/>
        <item x="15"/>
        <item x="46"/>
        <item x="47"/>
        <item x="37"/>
        <item x="48"/>
        <item x="49"/>
        <item x="50"/>
        <item x="51"/>
        <item x="52"/>
        <item t="default"/>
      </items>
    </pivotField>
    <pivotField numFmtId="164"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9"/>
    <field x="18"/>
  </rowFields>
  <rowItems count="8">
    <i>
      <x v="1"/>
    </i>
    <i r="1">
      <x v="7"/>
    </i>
    <i r="1">
      <x v="8"/>
    </i>
    <i r="1">
      <x v="9"/>
    </i>
    <i r="1">
      <x v="10"/>
    </i>
    <i r="1">
      <x v="11"/>
    </i>
    <i r="1">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F5DEE8-500E-4238-B3F9-B4C8A0691C81}"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U5:AV8" firstHeaderRow="1" firstDataRow="1" firstDataCol="1"/>
  <pivotFields count="20">
    <pivotField dataField="1"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1"/>
        <item x="3"/>
        <item x="0"/>
        <item x="5"/>
        <item x="4"/>
        <item x="2"/>
        <item t="default"/>
      </items>
    </pivotField>
    <pivotField showAll="0"/>
    <pivotField showAll="0"/>
    <pivotField showAll="0"/>
    <pivotField showAll="0"/>
    <pivotField showAll="0"/>
    <pivotField numFmtId="1" showAll="0"/>
    <pivotField showAll="0"/>
    <pivotField showAll="0">
      <items count="3">
        <item x="0"/>
        <item x="1"/>
        <item t="default"/>
      </items>
    </pivotField>
    <pivotField numFmtId="164" showAll="0">
      <items count="54">
        <item x="0"/>
        <item x="1"/>
        <item x="4"/>
        <item x="3"/>
        <item x="5"/>
        <item x="7"/>
        <item x="2"/>
        <item x="8"/>
        <item x="11"/>
        <item x="10"/>
        <item x="9"/>
        <item x="13"/>
        <item x="14"/>
        <item x="17"/>
        <item x="19"/>
        <item x="18"/>
        <item x="20"/>
        <item x="21"/>
        <item x="40"/>
        <item x="29"/>
        <item x="22"/>
        <item x="24"/>
        <item x="23"/>
        <item x="27"/>
        <item x="26"/>
        <item x="28"/>
        <item x="6"/>
        <item x="30"/>
        <item x="31"/>
        <item x="32"/>
        <item x="35"/>
        <item x="12"/>
        <item x="36"/>
        <item x="16"/>
        <item x="34"/>
        <item x="39"/>
        <item x="41"/>
        <item x="38"/>
        <item x="33"/>
        <item x="25"/>
        <item x="42"/>
        <item x="45"/>
        <item x="43"/>
        <item x="44"/>
        <item x="15"/>
        <item x="46"/>
        <item x="47"/>
        <item x="37"/>
        <item x="48"/>
        <item x="49"/>
        <item x="50"/>
        <item x="51"/>
        <item x="52"/>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
  </rowFields>
  <rowItems count="3">
    <i>
      <x v="1"/>
    </i>
    <i>
      <x/>
    </i>
    <i t="grand">
      <x/>
    </i>
  </rowItems>
  <colItems count="1">
    <i/>
  </colItems>
  <dataFields count="1">
    <dataField name="Count of أسم العميل" fld="0" subtotal="count" baseField="0" baseItem="0"/>
  </dataFields>
  <formats count="2">
    <format dxfId="14">
      <pivotArea collapsedLevelsAreSubtotals="1" fieldPosition="0">
        <references count="1">
          <reference field="1" count="1">
            <x v="1"/>
          </reference>
        </references>
      </pivotArea>
    </format>
    <format dxfId="13">
      <pivotArea dataOnly="0" labelOnly="1" fieldPosition="0">
        <references count="1">
          <reference field="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F83ED0-2FAF-4701-8584-321B399C40E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20">
    <pivotField showAll="0"/>
    <pivotField showAll="0">
      <items count="3">
        <item x="1"/>
        <item x="0"/>
        <item t="default"/>
      </items>
    </pivotField>
    <pivotField showAll="0"/>
    <pivotField showAll="0"/>
    <pivotField showAll="0">
      <items count="7">
        <item x="1"/>
        <item x="3"/>
        <item x="0"/>
        <item x="5"/>
        <item x="4"/>
        <item x="2"/>
        <item t="default"/>
      </items>
    </pivotField>
    <pivotField showAll="0"/>
    <pivotField showAll="0"/>
    <pivotField showAll="0"/>
    <pivotField showAll="0"/>
    <pivotField showAll="0"/>
    <pivotField dataField="1" numFmtId="1" showAll="0"/>
    <pivotField showAll="0"/>
    <pivotField showAll="0">
      <items count="3">
        <item x="0"/>
        <item x="1"/>
        <item t="default"/>
      </items>
    </pivotField>
    <pivotField numFmtId="164" showAll="0">
      <items count="54">
        <item x="0"/>
        <item x="1"/>
        <item x="4"/>
        <item x="3"/>
        <item x="5"/>
        <item x="7"/>
        <item x="2"/>
        <item x="8"/>
        <item x="11"/>
        <item x="10"/>
        <item x="9"/>
        <item x="13"/>
        <item x="14"/>
        <item x="17"/>
        <item x="19"/>
        <item x="18"/>
        <item x="20"/>
        <item x="21"/>
        <item x="40"/>
        <item x="29"/>
        <item x="22"/>
        <item x="24"/>
        <item x="23"/>
        <item x="27"/>
        <item x="26"/>
        <item x="28"/>
        <item x="6"/>
        <item x="30"/>
        <item x="31"/>
        <item x="32"/>
        <item x="35"/>
        <item x="12"/>
        <item x="36"/>
        <item x="16"/>
        <item x="34"/>
        <item x="39"/>
        <item x="41"/>
        <item x="38"/>
        <item x="33"/>
        <item x="25"/>
        <item x="42"/>
        <item x="45"/>
        <item x="43"/>
        <item x="44"/>
        <item x="15"/>
        <item x="46"/>
        <item x="47"/>
        <item x="37"/>
        <item x="48"/>
        <item x="49"/>
        <item x="50"/>
        <item x="51"/>
        <item x="52"/>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Items count="1">
    <i/>
  </colItems>
  <dataFields count="1">
    <dataField name="Sum of السعر"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9CED43-C843-4D4F-A5D4-676CB66CE656}"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P4:AQ15" firstHeaderRow="1" firstDataRow="1" firstDataCol="1"/>
  <pivotFields count="20">
    <pivotField showAll="0"/>
    <pivotField showAll="0">
      <items count="3">
        <item x="1"/>
        <item x="0"/>
        <item t="default"/>
      </items>
    </pivotField>
    <pivotField axis="axisRow" showAll="0" measureFilter="1" sortType="descending">
      <items count="39">
        <item x="7"/>
        <item x="12"/>
        <item x="32"/>
        <item x="24"/>
        <item x="25"/>
        <item x="23"/>
        <item x="30"/>
        <item x="14"/>
        <item x="31"/>
        <item x="26"/>
        <item x="27"/>
        <item x="18"/>
        <item x="16"/>
        <item x="21"/>
        <item x="6"/>
        <item x="22"/>
        <item x="0"/>
        <item x="13"/>
        <item x="3"/>
        <item x="5"/>
        <item x="15"/>
        <item x="33"/>
        <item x="29"/>
        <item x="9"/>
        <item x="28"/>
        <item x="8"/>
        <item x="36"/>
        <item x="35"/>
        <item x="17"/>
        <item x="37"/>
        <item x="1"/>
        <item x="2"/>
        <item x="11"/>
        <item x="20"/>
        <item x="19"/>
        <item x="34"/>
        <item x="4"/>
        <item x="10"/>
        <item t="default"/>
      </items>
      <autoSortScope>
        <pivotArea dataOnly="0" outline="0" fieldPosition="0">
          <references count="1">
            <reference field="4294967294" count="1" selected="0">
              <x v="0"/>
            </reference>
          </references>
        </pivotArea>
      </autoSortScope>
    </pivotField>
    <pivotField showAll="0"/>
    <pivotField showAll="0">
      <items count="7">
        <item x="1"/>
        <item x="3"/>
        <item x="0"/>
        <item x="5"/>
        <item x="4"/>
        <item x="2"/>
        <item t="default"/>
      </items>
    </pivotField>
    <pivotField showAll="0"/>
    <pivotField showAll="0"/>
    <pivotField showAll="0"/>
    <pivotField showAll="0"/>
    <pivotField showAll="0"/>
    <pivotField numFmtId="1" showAll="0"/>
    <pivotField showAll="0"/>
    <pivotField showAll="0">
      <items count="3">
        <item x="0"/>
        <item x="1"/>
        <item t="default"/>
      </items>
    </pivotField>
    <pivotField dataField="1" numFmtId="164" showAll="0">
      <items count="54">
        <item x="0"/>
        <item x="1"/>
        <item x="4"/>
        <item x="3"/>
        <item x="5"/>
        <item x="7"/>
        <item x="2"/>
        <item x="8"/>
        <item x="11"/>
        <item x="10"/>
        <item x="9"/>
        <item x="13"/>
        <item x="14"/>
        <item x="17"/>
        <item x="19"/>
        <item x="18"/>
        <item x="20"/>
        <item x="21"/>
        <item x="40"/>
        <item x="29"/>
        <item x="22"/>
        <item x="24"/>
        <item x="23"/>
        <item x="27"/>
        <item x="26"/>
        <item x="28"/>
        <item x="6"/>
        <item x="30"/>
        <item x="31"/>
        <item x="32"/>
        <item x="35"/>
        <item x="12"/>
        <item x="36"/>
        <item x="16"/>
        <item x="34"/>
        <item x="39"/>
        <item x="41"/>
        <item x="38"/>
        <item x="33"/>
        <item x="25"/>
        <item x="42"/>
        <item x="45"/>
        <item x="43"/>
        <item x="44"/>
        <item x="15"/>
        <item x="46"/>
        <item x="47"/>
        <item x="37"/>
        <item x="48"/>
        <item x="49"/>
        <item x="50"/>
        <item x="51"/>
        <item x="52"/>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11">
    <i>
      <x v="19"/>
    </i>
    <i>
      <x/>
    </i>
    <i>
      <x v="36"/>
    </i>
    <i>
      <x v="14"/>
    </i>
    <i>
      <x v="22"/>
    </i>
    <i>
      <x v="23"/>
    </i>
    <i>
      <x v="10"/>
    </i>
    <i>
      <x v="25"/>
    </i>
    <i>
      <x v="11"/>
    </i>
    <i>
      <x v="18"/>
    </i>
    <i t="grand">
      <x/>
    </i>
  </rowItems>
  <colItems count="1">
    <i/>
  </colItems>
  <dataFields count="1">
    <dataField name="Count of ميعاد الطلب" fld="13" subtotal="count" baseField="0" baseItem="0"/>
  </dataFields>
  <formats count="1">
    <format dxfId="15">
      <pivotArea dataOnly="0" fieldPosition="0">
        <references count="1">
          <reference field="2" count="1">
            <x v="19"/>
          </reference>
        </references>
      </pivotArea>
    </format>
  </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8E9DC2-50EC-4585-B8E8-91C9E177995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L6" firstHeaderRow="1" firstDataRow="1" firstDataCol="0"/>
  <pivotFields count="20">
    <pivotField showAll="0"/>
    <pivotField showAll="0">
      <items count="3">
        <item x="1"/>
        <item x="0"/>
        <item t="default"/>
      </items>
    </pivotField>
    <pivotField showAll="0"/>
    <pivotField showAll="0"/>
    <pivotField showAll="0">
      <items count="7">
        <item x="1"/>
        <item x="3"/>
        <item x="0"/>
        <item x="5"/>
        <item x="4"/>
        <item x="2"/>
        <item t="default"/>
      </items>
    </pivotField>
    <pivotField showAll="0"/>
    <pivotField showAll="0"/>
    <pivotField showAll="0"/>
    <pivotField showAll="0"/>
    <pivotField showAll="0"/>
    <pivotField dataField="1" numFmtId="1" showAll="0"/>
    <pivotField showAll="0"/>
    <pivotField showAll="0">
      <items count="3">
        <item x="0"/>
        <item x="1"/>
        <item t="default"/>
      </items>
    </pivotField>
    <pivotField numFmtId="164" showAll="0">
      <items count="54">
        <item x="0"/>
        <item x="1"/>
        <item x="4"/>
        <item x="3"/>
        <item x="5"/>
        <item x="7"/>
        <item x="2"/>
        <item x="8"/>
        <item x="11"/>
        <item x="10"/>
        <item x="9"/>
        <item x="13"/>
        <item x="14"/>
        <item x="17"/>
        <item x="19"/>
        <item x="18"/>
        <item x="20"/>
        <item x="21"/>
        <item x="40"/>
        <item x="29"/>
        <item x="22"/>
        <item x="24"/>
        <item x="23"/>
        <item x="27"/>
        <item x="26"/>
        <item x="28"/>
        <item x="6"/>
        <item x="30"/>
        <item x="31"/>
        <item x="32"/>
        <item x="35"/>
        <item x="12"/>
        <item x="36"/>
        <item x="16"/>
        <item x="34"/>
        <item x="39"/>
        <item x="41"/>
        <item x="38"/>
        <item x="33"/>
        <item x="25"/>
        <item x="42"/>
        <item x="45"/>
        <item x="43"/>
        <item x="44"/>
        <item x="15"/>
        <item x="46"/>
        <item x="47"/>
        <item x="37"/>
        <item x="48"/>
        <item x="49"/>
        <item x="50"/>
        <item x="51"/>
        <item x="52"/>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Items count="1">
    <i/>
  </colItems>
  <dataFields count="1">
    <dataField name="Average of السعر" fld="10"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A3E648-BD54-4424-A986-FD622F8BE96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20">
    <pivotField dataField="1" showAll="0"/>
    <pivotField showAll="0">
      <items count="3">
        <item x="1"/>
        <item x="0"/>
        <item t="default"/>
      </items>
    </pivotField>
    <pivotField showAll="0"/>
    <pivotField showAll="0"/>
    <pivotField showAll="0">
      <items count="7">
        <item x="1"/>
        <item x="3"/>
        <item x="0"/>
        <item x="5"/>
        <item x="4"/>
        <item x="2"/>
        <item t="default"/>
      </items>
    </pivotField>
    <pivotField showAll="0"/>
    <pivotField showAll="0"/>
    <pivotField showAll="0"/>
    <pivotField showAll="0"/>
    <pivotField showAll="0"/>
    <pivotField numFmtId="1" showAll="0"/>
    <pivotField showAll="0"/>
    <pivotField showAll="0">
      <items count="3">
        <item x="0"/>
        <item x="1"/>
        <item t="default"/>
      </items>
    </pivotField>
    <pivotField numFmtId="164" showAll="0">
      <items count="54">
        <item x="0"/>
        <item x="1"/>
        <item x="4"/>
        <item x="3"/>
        <item x="5"/>
        <item x="7"/>
        <item x="2"/>
        <item x="8"/>
        <item x="11"/>
        <item x="10"/>
        <item x="9"/>
        <item x="13"/>
        <item x="14"/>
        <item x="17"/>
        <item x="19"/>
        <item x="18"/>
        <item x="20"/>
        <item x="21"/>
        <item x="40"/>
        <item x="29"/>
        <item x="22"/>
        <item x="24"/>
        <item x="23"/>
        <item x="27"/>
        <item x="26"/>
        <item x="28"/>
        <item x="6"/>
        <item x="30"/>
        <item x="31"/>
        <item x="32"/>
        <item x="35"/>
        <item x="12"/>
        <item x="36"/>
        <item x="16"/>
        <item x="34"/>
        <item x="39"/>
        <item x="41"/>
        <item x="38"/>
        <item x="33"/>
        <item x="25"/>
        <item x="42"/>
        <item x="45"/>
        <item x="43"/>
        <item x="44"/>
        <item x="15"/>
        <item x="46"/>
        <item x="47"/>
        <item x="37"/>
        <item x="48"/>
        <item x="49"/>
        <item x="50"/>
        <item x="51"/>
        <item x="52"/>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Items count="1">
    <i/>
  </colItems>
  <dataFields count="1">
    <dataField name="Count of أسم العميل"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C25BB7-4EBC-4B43-87B1-32286CEC72C0}"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K5:AL10" firstHeaderRow="1" firstDataRow="1" firstDataCol="1"/>
  <pivotFields count="20">
    <pivotField showAll="0"/>
    <pivotField showAll="0">
      <items count="3">
        <item x="1"/>
        <item x="0"/>
        <item t="default"/>
      </items>
    </pivotField>
    <pivotField showAll="0"/>
    <pivotField showAll="0"/>
    <pivotField showAll="0">
      <items count="7">
        <item x="1"/>
        <item x="3"/>
        <item x="0"/>
        <item x="5"/>
        <item x="4"/>
        <item x="2"/>
        <item t="default"/>
      </items>
    </pivotField>
    <pivotField showAll="0"/>
    <pivotField showAll="0"/>
    <pivotField showAll="0"/>
    <pivotField showAll="0"/>
    <pivotField showAll="0"/>
    <pivotField numFmtId="1" showAll="0"/>
    <pivotField showAll="0"/>
    <pivotField showAll="0">
      <items count="3">
        <item x="0"/>
        <item x="1"/>
        <item t="default"/>
      </items>
    </pivotField>
    <pivotField dataField="1" numFmtId="164" showAll="0">
      <items count="54">
        <item x="0"/>
        <item x="1"/>
        <item x="4"/>
        <item x="3"/>
        <item x="5"/>
        <item x="7"/>
        <item x="2"/>
        <item x="8"/>
        <item x="11"/>
        <item x="10"/>
        <item x="9"/>
        <item x="13"/>
        <item x="14"/>
        <item x="17"/>
        <item x="19"/>
        <item x="18"/>
        <item x="20"/>
        <item x="21"/>
        <item x="40"/>
        <item x="29"/>
        <item x="22"/>
        <item x="24"/>
        <item x="23"/>
        <item x="27"/>
        <item x="26"/>
        <item x="28"/>
        <item x="6"/>
        <item x="30"/>
        <item x="31"/>
        <item x="32"/>
        <item x="35"/>
        <item x="12"/>
        <item x="36"/>
        <item x="16"/>
        <item x="34"/>
        <item x="39"/>
        <item x="41"/>
        <item x="38"/>
        <item x="33"/>
        <item x="25"/>
        <item x="42"/>
        <item x="45"/>
        <item x="43"/>
        <item x="44"/>
        <item x="15"/>
        <item x="46"/>
        <item x="47"/>
        <item x="37"/>
        <item x="48"/>
        <item x="49"/>
        <item x="50"/>
        <item x="51"/>
        <item x="52"/>
        <item t="default"/>
      </items>
    </pivotField>
    <pivotField numFmtId="164" showAll="0"/>
    <pivotField showAll="0"/>
    <pivotField showAll="0"/>
    <pivotField axis="axisRow" showAll="0">
      <items count="6">
        <item x="0"/>
        <item x="1"/>
        <item x="2"/>
        <item x="4"/>
        <item h="1" x="3"/>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7"/>
  </rowFields>
  <rowItems count="5">
    <i>
      <x/>
    </i>
    <i>
      <x v="1"/>
    </i>
    <i>
      <x v="2"/>
    </i>
    <i>
      <x v="3"/>
    </i>
    <i t="grand">
      <x/>
    </i>
  </rowItems>
  <colItems count="1">
    <i/>
  </colItems>
  <dataFields count="1">
    <dataField name="Count of ميعاد الطلب" fld="13" subtotal="count" showDataAs="percentOfTotal" baseField="17" baseItem="0" numFmtId="10"/>
  </dataFields>
  <formats count="1">
    <format dxfId="16">
      <pivotArea dataOnly="0" fieldPosition="0">
        <references count="1">
          <reference field="17" count="1">
            <x v="0"/>
          </reference>
        </references>
      </pivotArea>
    </format>
  </formats>
  <chartFormats count="5">
    <chartFormat chart="34" format="76" series="1">
      <pivotArea type="data" outline="0" fieldPosition="0">
        <references count="1">
          <reference field="4294967294" count="1" selected="0">
            <x v="0"/>
          </reference>
        </references>
      </pivotArea>
    </chartFormat>
    <chartFormat chart="34" format="77">
      <pivotArea type="data" outline="0" fieldPosition="0">
        <references count="2">
          <reference field="4294967294" count="1" selected="0">
            <x v="0"/>
          </reference>
          <reference field="17" count="1" selected="0">
            <x v="0"/>
          </reference>
        </references>
      </pivotArea>
    </chartFormat>
    <chartFormat chart="34" format="78">
      <pivotArea type="data" outline="0" fieldPosition="0">
        <references count="2">
          <reference field="4294967294" count="1" selected="0">
            <x v="0"/>
          </reference>
          <reference field="17" count="1" selected="0">
            <x v="1"/>
          </reference>
        </references>
      </pivotArea>
    </chartFormat>
    <chartFormat chart="34" format="79">
      <pivotArea type="data" outline="0" fieldPosition="0">
        <references count="2">
          <reference field="4294967294" count="1" selected="0">
            <x v="0"/>
          </reference>
          <reference field="17" count="1" selected="0">
            <x v="2"/>
          </reference>
        </references>
      </pivotArea>
    </chartFormat>
    <chartFormat chart="34" format="80">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F93D72-D3DC-4D37-BA67-E421B5FE3B7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Q5:R14" firstHeaderRow="1" firstDataRow="1" firstDataCol="1"/>
  <pivotFields count="20">
    <pivotField showAll="0"/>
    <pivotField showAll="0">
      <items count="3">
        <item x="1"/>
        <item x="0"/>
        <item t="default"/>
      </items>
    </pivotField>
    <pivotField showAll="0"/>
    <pivotField axis="axisRow" showAll="0" sortType="descending">
      <items count="9">
        <item x="5"/>
        <item x="4"/>
        <item x="3"/>
        <item x="1"/>
        <item x="2"/>
        <item x="7"/>
        <item x="6"/>
        <item x="0"/>
        <item t="default"/>
      </items>
      <autoSortScope>
        <pivotArea dataOnly="0" outline="0" fieldPosition="0">
          <references count="1">
            <reference field="4294967294" count="1" selected="0">
              <x v="0"/>
            </reference>
          </references>
        </pivotArea>
      </autoSortScope>
    </pivotField>
    <pivotField showAll="0">
      <items count="7">
        <item x="1"/>
        <item x="3"/>
        <item x="0"/>
        <item x="5"/>
        <item x="4"/>
        <item x="2"/>
        <item t="default"/>
      </items>
    </pivotField>
    <pivotField showAll="0"/>
    <pivotField showAll="0"/>
    <pivotField showAll="0"/>
    <pivotField showAll="0"/>
    <pivotField showAll="0"/>
    <pivotField dataField="1" numFmtId="1" showAll="0"/>
    <pivotField showAll="0"/>
    <pivotField showAll="0">
      <items count="3">
        <item x="0"/>
        <item x="1"/>
        <item t="default"/>
      </items>
    </pivotField>
    <pivotField numFmtId="164" showAll="0">
      <items count="54">
        <item x="0"/>
        <item x="1"/>
        <item x="4"/>
        <item x="3"/>
        <item x="5"/>
        <item x="7"/>
        <item x="2"/>
        <item x="8"/>
        <item x="11"/>
        <item x="10"/>
        <item x="9"/>
        <item x="13"/>
        <item x="14"/>
        <item x="17"/>
        <item x="19"/>
        <item x="18"/>
        <item x="20"/>
        <item x="21"/>
        <item x="40"/>
        <item x="29"/>
        <item x="22"/>
        <item x="24"/>
        <item x="23"/>
        <item x="27"/>
        <item x="26"/>
        <item x="28"/>
        <item x="6"/>
        <item x="30"/>
        <item x="31"/>
        <item x="32"/>
        <item x="35"/>
        <item x="12"/>
        <item x="36"/>
        <item x="16"/>
        <item x="34"/>
        <item x="39"/>
        <item x="41"/>
        <item x="38"/>
        <item x="33"/>
        <item x="25"/>
        <item x="42"/>
        <item x="45"/>
        <item x="43"/>
        <item x="44"/>
        <item x="15"/>
        <item x="46"/>
        <item x="47"/>
        <item x="37"/>
        <item x="48"/>
        <item x="49"/>
        <item x="50"/>
        <item x="51"/>
        <item x="52"/>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9">
    <i>
      <x v="7"/>
    </i>
    <i>
      <x v="3"/>
    </i>
    <i>
      <x v="1"/>
    </i>
    <i>
      <x v="2"/>
    </i>
    <i>
      <x/>
    </i>
    <i>
      <x v="4"/>
    </i>
    <i>
      <x v="6"/>
    </i>
    <i>
      <x v="5"/>
    </i>
    <i t="grand">
      <x/>
    </i>
  </rowItems>
  <colItems count="1">
    <i/>
  </colItems>
  <dataFields count="1">
    <dataField name="Count of السعر" fld="10" subtotal="count" baseField="3" baseItem="0"/>
  </dataFields>
  <formats count="2">
    <format dxfId="18">
      <pivotArea collapsedLevelsAreSubtotals="1" fieldPosition="0">
        <references count="1">
          <reference field="3" count="1">
            <x v="7"/>
          </reference>
        </references>
      </pivotArea>
    </format>
    <format dxfId="17">
      <pivotArea dataOnly="0" labelOnly="1" fieldPosition="0">
        <references count="1">
          <reference field="3" count="1">
            <x v="7"/>
          </reference>
        </references>
      </pivotArea>
    </format>
  </formats>
  <chartFormats count="6">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3" count="1" selected="0">
            <x v="1"/>
          </reference>
        </references>
      </pivotArea>
    </chartFormat>
    <chartFormat chart="8" format="11">
      <pivotArea type="data" outline="0" fieldPosition="0">
        <references count="2">
          <reference field="4294967294" count="1" selected="0">
            <x v="0"/>
          </reference>
          <reference field="3" count="1" selected="0">
            <x v="2"/>
          </reference>
        </references>
      </pivotArea>
    </chartFormat>
    <chartFormat chart="8" format="12">
      <pivotArea type="data" outline="0" fieldPosition="0">
        <references count="2">
          <reference field="4294967294" count="1" selected="0">
            <x v="0"/>
          </reference>
          <reference field="3" count="1" selected="0">
            <x v="3"/>
          </reference>
        </references>
      </pivotArea>
    </chartFormat>
    <chartFormat chart="8" format="13">
      <pivotArea type="data" outline="0" fieldPosition="0">
        <references count="2">
          <reference field="4294967294" count="1" selected="0">
            <x v="0"/>
          </reference>
          <reference field="3" count="1" selected="0">
            <x v="0"/>
          </reference>
        </references>
      </pivotArea>
    </chartFormat>
    <chartFormat chart="8" format="14">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منتج" xr10:uid="{4093A35F-7BCF-4CA7-8689-63CC9EC68342}" sourceName="اسم المنتج">
  <pivotTables>
    <pivotTable tabId="6" name="PivotTable18"/>
    <pivotTable tabId="6" name="PivotTable14"/>
    <pivotTable tabId="6" name="PivotTable15"/>
    <pivotTable tabId="6" name="PivotTable16"/>
    <pivotTable tabId="6" name="PivotTable17"/>
    <pivotTable tabId="6" name="PivotTable19"/>
    <pivotTable tabId="6" name="PivotTable21"/>
    <pivotTable tabId="6" name="PivotTable22"/>
    <pivotTable tabId="6" name="PivotTable23"/>
    <pivotTable tabId="6" name="PivotTable24"/>
  </pivotTables>
  <data>
    <tabular pivotCacheId="1180303142">
      <items count="6">
        <i x="1" s="1"/>
        <i x="3" s="1"/>
        <i x="0" s="1"/>
        <i x="5"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عميل" xr10:uid="{F18CE0B3-C431-4EF2-B42D-798D9886F17A}" sourceName="نوع العميل">
  <pivotTables>
    <pivotTable tabId="6" name="PivotTable21"/>
    <pivotTable tabId="6" name="PivotTable14"/>
    <pivotTable tabId="6" name="PivotTable15"/>
    <pivotTable tabId="6" name="PivotTable16"/>
    <pivotTable tabId="6" name="PivotTable17"/>
    <pivotTable tabId="6" name="PivotTable18"/>
    <pivotTable tabId="6" name="PivotTable19"/>
    <pivotTable tabId="6" name="PivotTable22"/>
    <pivotTable tabId="6" name="PivotTable23"/>
    <pivotTable tabId="6" name="PivotTable24"/>
  </pivotTables>
  <data>
    <tabular pivotCacheId="118030314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حاله_التسليم" xr10:uid="{7E21B459-AC46-429D-B541-718105BEF789}" sourceName="حاله التسليم">
  <pivotTables>
    <pivotTable tabId="6" name="PivotTable17"/>
    <pivotTable tabId="6" name="PivotTable14"/>
    <pivotTable tabId="6" name="PivotTable15"/>
    <pivotTable tabId="6" name="PivotTable16"/>
    <pivotTable tabId="6" name="PivotTable18"/>
    <pivotTable tabId="6" name="PivotTable19"/>
    <pivotTable tabId="6" name="PivotTable21"/>
    <pivotTable tabId="6" name="PivotTable22"/>
    <pivotTable tabId="6" name="PivotTable23"/>
    <pivotTable tabId="6" name="PivotTable24"/>
  </pivotTables>
  <data>
    <tabular pivotCacheId="118030314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ميعاد_الطلب" xr10:uid="{A9E8E340-872D-4DD6-9E7B-FC40057504D4}" sourceName="Months (ميعاد الطلب)">
  <pivotTables>
    <pivotTable tabId="6" name="PivotTable2"/>
    <pivotTable tabId="6" name="PivotTable14"/>
    <pivotTable tabId="6" name="PivotTable15"/>
    <pivotTable tabId="6" name="PivotTable16"/>
    <pivotTable tabId="6" name="PivotTable17"/>
    <pivotTable tabId="6" name="PivotTable18"/>
    <pivotTable tabId="6" name="PivotTable19"/>
    <pivotTable tabId="6" name="PivotTable21"/>
    <pivotTable tabId="6" name="PivotTable22"/>
    <pivotTable tabId="6" name="PivotTable23"/>
    <pivotTable tabId="6" name="PivotTable24"/>
  </pivotTables>
  <data>
    <tabular pivotCacheId="1180303142">
      <items count="14">
        <i x="7" s="1"/>
        <i x="8" s="1"/>
        <i x="9" s="1"/>
        <i x="10" s="1"/>
        <i x="11" s="1"/>
        <i x="12" s="1"/>
        <i x="1" s="1" nd="1"/>
        <i x="2" s="1" nd="1"/>
        <i x="3" s="1" nd="1"/>
        <i x="4" s="1" nd="1"/>
        <i x="5" s="1" nd="1"/>
        <i x="6"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سم المنتج" xr10:uid="{371D34C7-B865-4762-BC58-C857F1F5C2B2}" cache="Slicer_اسم_المنتج" caption="اسم المنتج" style="Slicer Style 10" rowHeight="241300"/>
  <slicer name="نوع العميل" xr10:uid="{930699BE-BA28-4922-B562-07CCE173A027}" cache="Slicer_نوع_العميل" caption="نوع العميل" style="Slicer Style 1" rowHeight="241300"/>
  <slicer name="حاله التسليم" xr10:uid="{105A272C-3FB9-4C94-B82A-154B3895F440}" cache="Slicer_حاله_التسليم" caption="حاله التسليم" style="Slicer Style 1" rowHeight="241300"/>
  <slicer name="Months (ميعاد الطلب)" xr10:uid="{7F2658D9-D502-4D7E-BFD5-91B66C2B573C}" cache="Slicer_Months__ميعاد_الطلب" caption="Months (ميعاد الطلب)" columnCount="2" style="Slicer Style 1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798A78-3521-436D-9BC5-851ED3CB5E63}" name="Table1" displayName="Table1" ref="A1:R106" headerRowDxfId="43" dataDxfId="41" totalsRowDxfId="39" headerRowBorderDxfId="42" tableBorderDxfId="40">
  <autoFilter ref="A1:R106" xr:uid="{D2798A78-3521-436D-9BC5-851ED3CB5E63}"/>
  <sortState xmlns:xlrd2="http://schemas.microsoft.com/office/spreadsheetml/2017/richdata2" ref="A9:R101">
    <sortCondition descending="1" ref="K1:K106"/>
  </sortState>
  <tableColumns count="18">
    <tableColumn id="4" xr3:uid="{47BE3B96-D330-4BBC-A2D2-F81C95C9CDF8}" name="أسم العميل" dataDxfId="38" totalsRowDxfId="37"/>
    <tableColumn id="1" xr3:uid="{A42404F0-DA43-49EB-ACBA-4573943D0602}" name="نوع العميل" dataDxfId="36" totalsRowDxfId="35"/>
    <tableColumn id="5" xr3:uid="{8A9922D2-A0CD-402D-B813-D91B1A5543A7}" name="العنوان" dataDxfId="34"/>
    <tableColumn id="6" xr3:uid="{531866FB-239E-4CF3-9FE1-039571685D15}" name="منصة البيع " dataDxfId="33"/>
    <tableColumn id="7" xr3:uid="{329594CA-08DA-45AC-A7F7-910A5361B134}" name="اسم المنتج" dataDxfId="32"/>
    <tableColumn id="8" xr3:uid="{990A4B5E-F656-488D-9380-13FEF9368A58}" name="نوع المنتج" dataDxfId="31"/>
    <tableColumn id="9" xr3:uid="{662B455F-E61E-4860-B044-7FE4EA33EB21}" name="الاسم" dataDxfId="30"/>
    <tableColumn id="10" xr3:uid="{345D5343-7CAB-45ED-B313-6D190D457227}" name="المقاس" dataDxfId="29"/>
    <tableColumn id="11" xr3:uid="{5C975D49-D925-40FA-B4F8-11E4DAD95CCE}" name="اللون المعدن" dataDxfId="28"/>
    <tableColumn id="13" xr3:uid="{D1430ED2-4D5A-4B23-8A5C-34451686BB87}" name="المنتج" dataDxfId="27"/>
    <tableColumn id="14" xr3:uid="{5C7E7829-EAB2-4268-9FAB-15FA3FD2CCF4}" name="السعر" dataDxfId="26"/>
    <tableColumn id="15" xr3:uid="{BACF5005-30BE-47C9-AAC1-9BDF38012149}" name="طريقه الدفع " dataDxfId="25"/>
    <tableColumn id="3" xr3:uid="{15BC3708-7E45-493B-9769-6DC7B0D3F86E}" name="حاله التسليم" dataDxfId="24">
      <calculatedColumnFormula array="1">_xlfn.IFS(P2&lt;=O2,"في الموعد",P2&gt;=O2," متأخر")</calculatedColumnFormula>
    </tableColumn>
    <tableColumn id="16" xr3:uid="{E2B28B8B-CFBC-439F-8D85-DC762E0967F1}" name="ميعاد الطلب" dataDxfId="23"/>
    <tableColumn id="17" xr3:uid="{1A1B1E1B-A2CA-408E-8E56-91ED4C4CCBF5}" name="ميعاد التسليم" dataDxfId="22"/>
    <tableColumn id="18" xr3:uid="{E1959E39-8CB9-4EDA-BBF2-E00B29924D1E}" name="تاريخ التسليم" dataDxfId="21"/>
    <tableColumn id="19" xr3:uid="{5F8B0FDB-1F35-4B52-9FA7-8035B2A836D7}" name="المسئول عن التسليم" dataDxfId="20"/>
    <tableColumn id="20" xr3:uid="{064C9CE2-4190-4BB6-8764-5128D762D8E3}" name="الحالة" totalsRowFunction="count" dataDxfId="19"/>
  </tableColumns>
  <tableStyleInfo name="TableStyleMedium2"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microsoft.com/office/2007/relationships/slicer" Target="../slicers/slicer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EE45-E9D7-4D2C-B86A-99E0DABE7FC2}">
  <sheetPr codeName="Sheet1"/>
  <dimension ref="A1:B16"/>
  <sheetViews>
    <sheetView showGridLines="0" zoomScale="205" zoomScaleNormal="205" workbookViewId="0">
      <selection activeCell="B13" sqref="B13"/>
    </sheetView>
  </sheetViews>
  <sheetFormatPr defaultRowHeight="15" x14ac:dyDescent="0.25"/>
  <cols>
    <col min="1" max="1" width="73.5703125" bestFit="1" customWidth="1"/>
    <col min="2" max="2" width="41.85546875" customWidth="1"/>
  </cols>
  <sheetData>
    <row r="1" spans="1:2" x14ac:dyDescent="0.25">
      <c r="A1" s="7"/>
      <c r="B1" s="7"/>
    </row>
    <row r="2" spans="1:2" x14ac:dyDescent="0.25">
      <c r="A2" s="7"/>
      <c r="B2" s="7"/>
    </row>
    <row r="3" spans="1:2" s="5" customFormat="1" ht="25.5" x14ac:dyDescent="0.35">
      <c r="A3" s="5" t="s">
        <v>229</v>
      </c>
    </row>
    <row r="4" spans="1:2" s="6" customFormat="1" ht="18.75" x14ac:dyDescent="0.3">
      <c r="A4" s="9" t="s">
        <v>222</v>
      </c>
      <c r="B4" s="9"/>
    </row>
    <row r="5" spans="1:2" s="2" customFormat="1" x14ac:dyDescent="0.25">
      <c r="A5" s="10"/>
      <c r="B5" s="10"/>
    </row>
    <row r="6" spans="1:2" s="4" customFormat="1" ht="18.75" x14ac:dyDescent="0.3">
      <c r="A6" s="4" t="s">
        <v>228</v>
      </c>
    </row>
    <row r="7" spans="1:2" s="3" customFormat="1" ht="15.75" x14ac:dyDescent="0.25">
      <c r="A7" s="11" t="s">
        <v>223</v>
      </c>
      <c r="B7" s="8"/>
    </row>
    <row r="8" spans="1:2" s="3" customFormat="1" ht="15.75" x14ac:dyDescent="0.25">
      <c r="A8" s="8" t="s">
        <v>224</v>
      </c>
      <c r="B8" s="8"/>
    </row>
    <row r="9" spans="1:2" s="3" customFormat="1" ht="15.75" x14ac:dyDescent="0.25">
      <c r="A9" s="8" t="s">
        <v>225</v>
      </c>
      <c r="B9" s="8"/>
    </row>
    <row r="10" spans="1:2" s="3" customFormat="1" ht="15.75" x14ac:dyDescent="0.25">
      <c r="A10" s="8" t="s">
        <v>226</v>
      </c>
      <c r="B10" s="8"/>
    </row>
    <row r="11" spans="1:2" s="8" customFormat="1" ht="15.75" x14ac:dyDescent="0.25">
      <c r="A11" s="8" t="s">
        <v>230</v>
      </c>
    </row>
    <row r="12" spans="1:2" s="3" customFormat="1" ht="15.75" x14ac:dyDescent="0.25">
      <c r="A12" s="8" t="s">
        <v>231</v>
      </c>
      <c r="B12" s="8"/>
    </row>
    <row r="13" spans="1:2" s="3" customFormat="1" ht="15.75" x14ac:dyDescent="0.25">
      <c r="A13" s="8" t="s">
        <v>227</v>
      </c>
      <c r="B13" s="8"/>
    </row>
    <row r="14" spans="1:2" s="3" customFormat="1" ht="15.75" x14ac:dyDescent="0.25">
      <c r="A14" s="8" t="s">
        <v>234</v>
      </c>
      <c r="B14" s="8"/>
    </row>
    <row r="15" spans="1:2" s="3" customFormat="1" ht="15.75" x14ac:dyDescent="0.25">
      <c r="A15" s="8" t="s">
        <v>232</v>
      </c>
      <c r="B15" s="8"/>
    </row>
    <row r="16" spans="1:2" ht="15.75" x14ac:dyDescent="0.25">
      <c r="A16" s="8" t="s">
        <v>233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R1048430"/>
  <sheetViews>
    <sheetView topLeftCell="C1" zoomScale="115" zoomScaleNormal="115" workbookViewId="0">
      <selection activeCell="M1" sqref="M1"/>
    </sheetView>
  </sheetViews>
  <sheetFormatPr defaultColWidth="8.85546875" defaultRowHeight="15" x14ac:dyDescent="0.25"/>
  <cols>
    <col min="1" max="1" width="24.7109375" style="16" bestFit="1" customWidth="1"/>
    <col min="2" max="2" width="24.7109375" style="16" customWidth="1"/>
    <col min="3" max="3" width="42.7109375" style="16" bestFit="1" customWidth="1"/>
    <col min="4" max="4" width="18.28515625" style="16" bestFit="1" customWidth="1"/>
    <col min="5" max="6" width="17.85546875" style="16" bestFit="1" customWidth="1"/>
    <col min="7" max="7" width="13.140625" style="16" bestFit="1" customWidth="1"/>
    <col min="8" max="8" width="14.42578125" style="16" bestFit="1" customWidth="1"/>
    <col min="9" max="9" width="18.85546875" style="16" bestFit="1" customWidth="1"/>
    <col min="10" max="10" width="49.85546875" style="16" bestFit="1" customWidth="1"/>
    <col min="11" max="11" width="18.140625" style="29" bestFit="1" customWidth="1"/>
    <col min="12" max="12" width="19.7109375" style="29" bestFit="1" customWidth="1"/>
    <col min="13" max="13" width="19.7109375" style="16" customWidth="1"/>
    <col min="14" max="14" width="19.140625" style="23" bestFit="1" customWidth="1"/>
    <col min="15" max="15" width="20" style="23" bestFit="1" customWidth="1"/>
    <col min="16" max="16" width="32.42578125" style="23" bestFit="1" customWidth="1"/>
    <col min="17" max="17" width="38.28515625" style="17" bestFit="1" customWidth="1"/>
    <col min="18" max="18" width="13.5703125" style="1" customWidth="1"/>
    <col min="19" max="16384" width="8.85546875" style="1"/>
  </cols>
  <sheetData>
    <row r="1" spans="1:18" ht="20.100000000000001" customHeight="1" x14ac:dyDescent="0.25">
      <c r="A1" s="38" t="s">
        <v>0</v>
      </c>
      <c r="B1" s="38" t="s">
        <v>237</v>
      </c>
      <c r="C1" s="38" t="s">
        <v>1</v>
      </c>
      <c r="D1" s="38" t="s">
        <v>5</v>
      </c>
      <c r="E1" s="38" t="s">
        <v>244</v>
      </c>
      <c r="F1" s="38" t="s">
        <v>245</v>
      </c>
      <c r="G1" s="38" t="s">
        <v>150</v>
      </c>
      <c r="H1" s="38" t="s">
        <v>151</v>
      </c>
      <c r="I1" s="38" t="s">
        <v>155</v>
      </c>
      <c r="J1" s="39" t="s">
        <v>2</v>
      </c>
      <c r="K1" s="40" t="s">
        <v>246</v>
      </c>
      <c r="L1" s="40" t="s">
        <v>7</v>
      </c>
      <c r="M1" s="38" t="s">
        <v>265</v>
      </c>
      <c r="N1" s="41" t="s">
        <v>9</v>
      </c>
      <c r="O1" s="41" t="s">
        <v>8</v>
      </c>
      <c r="P1" s="41" t="s">
        <v>3</v>
      </c>
      <c r="Q1" s="38" t="s">
        <v>4</v>
      </c>
      <c r="R1" s="38" t="s">
        <v>162</v>
      </c>
    </row>
    <row r="2" spans="1:18" ht="20.100000000000001" customHeight="1" x14ac:dyDescent="0.25">
      <c r="A2" s="12" t="s">
        <v>10</v>
      </c>
      <c r="B2" s="12" t="s">
        <v>238</v>
      </c>
      <c r="C2" s="12" t="s">
        <v>11</v>
      </c>
      <c r="D2" s="12" t="s">
        <v>6</v>
      </c>
      <c r="E2" s="12" t="s">
        <v>130</v>
      </c>
      <c r="F2" s="12" t="s">
        <v>131</v>
      </c>
      <c r="G2" s="12"/>
      <c r="H2" s="12"/>
      <c r="I2" s="12" t="s">
        <v>143</v>
      </c>
      <c r="J2" s="13" t="s">
        <v>12</v>
      </c>
      <c r="K2" s="19">
        <v>10160</v>
      </c>
      <c r="L2" s="19" t="s">
        <v>13</v>
      </c>
      <c r="M2" s="12" t="str" cm="1">
        <f t="array" ref="M2">_xlfn.IFS(P2&lt;=O2,"في الموعد",P2&gt;=O2," متأخر")</f>
        <v xml:space="preserve"> متأخر</v>
      </c>
      <c r="N2" s="21">
        <v>45500</v>
      </c>
      <c r="O2" s="20">
        <v>45508</v>
      </c>
      <c r="P2" s="20">
        <v>45514</v>
      </c>
      <c r="Q2" s="12" t="s">
        <v>22</v>
      </c>
      <c r="R2" s="12" t="s">
        <v>166</v>
      </c>
    </row>
    <row r="3" spans="1:18" ht="20.100000000000001" customHeight="1" x14ac:dyDescent="0.25">
      <c r="A3" s="13" t="s">
        <v>14</v>
      </c>
      <c r="B3" s="13" t="s">
        <v>238</v>
      </c>
      <c r="C3" s="13" t="s">
        <v>15</v>
      </c>
      <c r="D3" s="12" t="s">
        <v>6</v>
      </c>
      <c r="E3" s="12" t="s">
        <v>130</v>
      </c>
      <c r="F3" s="12" t="s">
        <v>131</v>
      </c>
      <c r="G3" s="13"/>
      <c r="H3" s="13"/>
      <c r="I3" s="13" t="s">
        <v>144</v>
      </c>
      <c r="J3" s="13" t="s">
        <v>16</v>
      </c>
      <c r="K3" s="18">
        <v>10160</v>
      </c>
      <c r="L3" s="19" t="s">
        <v>266</v>
      </c>
      <c r="M3" s="12" t="str" cm="1">
        <f t="array" ref="M3">_xlfn.IFS(P3&lt;=O3,"في الموعد",P3&gt;=O3," متأخر")</f>
        <v xml:space="preserve"> متأخر</v>
      </c>
      <c r="N3" s="21">
        <v>45501</v>
      </c>
      <c r="O3" s="20">
        <v>45508</v>
      </c>
      <c r="P3" s="21">
        <v>45515</v>
      </c>
      <c r="Q3" s="13" t="s">
        <v>22</v>
      </c>
      <c r="R3" s="12" t="s">
        <v>166</v>
      </c>
    </row>
    <row r="4" spans="1:18" ht="20.100000000000001" customHeight="1" x14ac:dyDescent="0.25">
      <c r="A4" s="13" t="s">
        <v>17</v>
      </c>
      <c r="B4" s="13" t="s">
        <v>238</v>
      </c>
      <c r="C4" s="13" t="s">
        <v>18</v>
      </c>
      <c r="D4" s="12" t="s">
        <v>6</v>
      </c>
      <c r="E4" s="12" t="s">
        <v>130</v>
      </c>
      <c r="F4" s="13" t="s">
        <v>142</v>
      </c>
      <c r="G4" s="13" t="s">
        <v>135</v>
      </c>
      <c r="H4" s="13">
        <v>90</v>
      </c>
      <c r="I4" s="13" t="s">
        <v>146</v>
      </c>
      <c r="J4" s="13" t="s">
        <v>249</v>
      </c>
      <c r="K4" s="18">
        <v>11455</v>
      </c>
      <c r="L4" s="19" t="s">
        <v>266</v>
      </c>
      <c r="M4" s="12" t="str" cm="1">
        <f t="array" ref="M4">_xlfn.IFS(P4&lt;=O4,"في الموعد",P4&gt;=O4," متأخر")</f>
        <v>في الموعد</v>
      </c>
      <c r="N4" s="21">
        <v>45500</v>
      </c>
      <c r="O4" s="21">
        <v>45566</v>
      </c>
      <c r="P4" s="21"/>
      <c r="Q4" s="13" t="s">
        <v>28</v>
      </c>
      <c r="R4" s="13" t="s">
        <v>163</v>
      </c>
    </row>
    <row r="5" spans="1:18" ht="20.100000000000001" customHeight="1" x14ac:dyDescent="0.25">
      <c r="A5" s="13" t="s">
        <v>19</v>
      </c>
      <c r="B5" s="13" t="s">
        <v>239</v>
      </c>
      <c r="C5" s="13" t="s">
        <v>20</v>
      </c>
      <c r="D5" s="12" t="s">
        <v>6</v>
      </c>
      <c r="E5" s="13" t="s">
        <v>137</v>
      </c>
      <c r="F5" s="13" t="s">
        <v>160</v>
      </c>
      <c r="G5" s="13"/>
      <c r="H5" s="13"/>
      <c r="I5" s="13"/>
      <c r="J5" s="13" t="s">
        <v>21</v>
      </c>
      <c r="K5" s="18">
        <v>8642</v>
      </c>
      <c r="L5" s="19" t="s">
        <v>266</v>
      </c>
      <c r="M5" s="12" t="str" cm="1">
        <f t="array" ref="M5">_xlfn.IFS(P5&lt;=O5,"في الموعد",P5&gt;=O5," متأخر")</f>
        <v>في الموعد</v>
      </c>
      <c r="N5" s="21">
        <v>45529</v>
      </c>
      <c r="O5" s="21">
        <v>45542</v>
      </c>
      <c r="P5" s="21">
        <v>45531</v>
      </c>
      <c r="Q5" s="13" t="s">
        <v>22</v>
      </c>
      <c r="R5" s="12" t="s">
        <v>166</v>
      </c>
    </row>
    <row r="6" spans="1:18" ht="20.100000000000001" customHeight="1" x14ac:dyDescent="0.25">
      <c r="A6" s="13" t="s">
        <v>23</v>
      </c>
      <c r="B6" s="13" t="s">
        <v>238</v>
      </c>
      <c r="C6" s="13" t="s">
        <v>18</v>
      </c>
      <c r="D6" s="12" t="s">
        <v>6</v>
      </c>
      <c r="E6" s="12" t="s">
        <v>130</v>
      </c>
      <c r="F6" s="13" t="s">
        <v>142</v>
      </c>
      <c r="G6" s="13" t="s">
        <v>132</v>
      </c>
      <c r="H6" s="13">
        <v>100</v>
      </c>
      <c r="I6" s="13" t="s">
        <v>148</v>
      </c>
      <c r="J6" s="13" t="s">
        <v>24</v>
      </c>
      <c r="K6" s="18">
        <v>12833</v>
      </c>
      <c r="L6" s="19" t="s">
        <v>266</v>
      </c>
      <c r="M6" s="19" t="str" cm="1">
        <f t="array" ref="M6">_xlfn.IFS(P6&lt;=O6,"في الموعد",P6&gt;=O6," متأخر")</f>
        <v>في الموعد</v>
      </c>
      <c r="N6" s="21">
        <v>45520</v>
      </c>
      <c r="O6" s="21">
        <v>45515</v>
      </c>
      <c r="P6" s="21"/>
      <c r="Q6" s="13" t="s">
        <v>28</v>
      </c>
      <c r="R6" s="13" t="s">
        <v>163</v>
      </c>
    </row>
    <row r="7" spans="1:18" ht="20.100000000000001" customHeight="1" x14ac:dyDescent="0.25">
      <c r="A7" s="13" t="s">
        <v>25</v>
      </c>
      <c r="B7" s="13" t="s">
        <v>239</v>
      </c>
      <c r="C7" s="13" t="s">
        <v>179</v>
      </c>
      <c r="D7" s="13" t="s">
        <v>25</v>
      </c>
      <c r="E7" s="13" t="s">
        <v>170</v>
      </c>
      <c r="F7" s="13" t="s">
        <v>171</v>
      </c>
      <c r="G7" s="13"/>
      <c r="H7" s="13"/>
      <c r="I7" s="13" t="s">
        <v>148</v>
      </c>
      <c r="J7" s="13" t="s">
        <v>26</v>
      </c>
      <c r="K7" s="18">
        <v>14550</v>
      </c>
      <c r="L7" s="19" t="s">
        <v>13</v>
      </c>
      <c r="M7" s="12" t="str" cm="1">
        <f t="array" ref="M7">_xlfn.IFS(P7&lt;=O7,"في الموعد",P7&gt;=O7," متأخر")</f>
        <v xml:space="preserve"> متأخر</v>
      </c>
      <c r="N7" s="21">
        <v>45518</v>
      </c>
      <c r="O7" s="21">
        <v>45538</v>
      </c>
      <c r="P7" s="21">
        <v>45540</v>
      </c>
      <c r="Q7" s="13" t="s">
        <v>22</v>
      </c>
      <c r="R7" s="12" t="s">
        <v>166</v>
      </c>
    </row>
    <row r="8" spans="1:18" ht="20.100000000000001" customHeight="1" x14ac:dyDescent="0.25">
      <c r="A8" s="13" t="s">
        <v>27</v>
      </c>
      <c r="B8" s="13" t="s">
        <v>238</v>
      </c>
      <c r="C8" s="13" t="s">
        <v>53</v>
      </c>
      <c r="D8" s="13" t="s">
        <v>206</v>
      </c>
      <c r="E8" s="13" t="s">
        <v>170</v>
      </c>
      <c r="F8" s="13" t="s">
        <v>171</v>
      </c>
      <c r="G8" s="13"/>
      <c r="H8" s="13"/>
      <c r="I8" s="13" t="s">
        <v>148</v>
      </c>
      <c r="J8" s="13" t="s">
        <v>26</v>
      </c>
      <c r="K8" s="18">
        <v>12000</v>
      </c>
      <c r="L8" s="19" t="s">
        <v>266</v>
      </c>
      <c r="M8" s="12" t="str" cm="1">
        <f t="array" ref="M8">_xlfn.IFS(P8&lt;=O8,"في الموعد",P8&gt;=O8," متأخر")</f>
        <v>في الموعد</v>
      </c>
      <c r="N8" s="21">
        <v>45521</v>
      </c>
      <c r="O8" s="21">
        <v>45524</v>
      </c>
      <c r="P8" s="21">
        <v>45523</v>
      </c>
      <c r="Q8" s="13" t="s">
        <v>22</v>
      </c>
      <c r="R8" s="12" t="s">
        <v>166</v>
      </c>
    </row>
    <row r="9" spans="1:18" ht="20.100000000000001" customHeight="1" x14ac:dyDescent="0.25">
      <c r="A9" s="13" t="s">
        <v>183</v>
      </c>
      <c r="B9" s="13" t="s">
        <v>239</v>
      </c>
      <c r="C9" s="13" t="s">
        <v>53</v>
      </c>
      <c r="D9" s="12" t="s">
        <v>6</v>
      </c>
      <c r="E9" s="12" t="s">
        <v>130</v>
      </c>
      <c r="F9" s="13" t="s">
        <v>142</v>
      </c>
      <c r="G9" s="13" t="s">
        <v>132</v>
      </c>
      <c r="H9" s="13" t="s">
        <v>243</v>
      </c>
      <c r="I9" s="12" t="s">
        <v>184</v>
      </c>
      <c r="J9" s="13"/>
      <c r="K9" s="18">
        <v>12899</v>
      </c>
      <c r="L9" s="19" t="s">
        <v>266</v>
      </c>
      <c r="M9" s="12" t="str" cm="1">
        <f t="array" ref="M9">_xlfn.IFS(P9&lt;=O9,"في الموعد",P9&gt;=O9," متأخر")</f>
        <v>في الموعد</v>
      </c>
      <c r="N9" s="21">
        <v>45578</v>
      </c>
      <c r="O9" s="21">
        <v>45643</v>
      </c>
      <c r="P9" s="21">
        <v>45598</v>
      </c>
      <c r="Q9" s="13" t="s">
        <v>167</v>
      </c>
      <c r="R9" s="12" t="s">
        <v>166</v>
      </c>
    </row>
    <row r="10" spans="1:18" ht="20.100000000000001" customHeight="1" x14ac:dyDescent="0.25">
      <c r="A10" s="13" t="s">
        <v>31</v>
      </c>
      <c r="B10" s="13" t="s">
        <v>239</v>
      </c>
      <c r="C10" s="13" t="s">
        <v>32</v>
      </c>
      <c r="D10" s="13" t="s">
        <v>33</v>
      </c>
      <c r="E10" s="13" t="s">
        <v>138</v>
      </c>
      <c r="F10" s="13" t="s">
        <v>139</v>
      </c>
      <c r="G10" s="13"/>
      <c r="H10" s="13"/>
      <c r="I10" s="13"/>
      <c r="J10" s="13" t="s">
        <v>34</v>
      </c>
      <c r="K10" s="18">
        <v>22000</v>
      </c>
      <c r="L10" s="19" t="s">
        <v>266</v>
      </c>
      <c r="M10" s="12" t="str" cm="1">
        <f t="array" ref="M10">_xlfn.IFS(P10&lt;=O10,"في الموعد",P10&gt;=O10," متأخر")</f>
        <v xml:space="preserve"> متأخر</v>
      </c>
      <c r="N10" s="21">
        <v>45523</v>
      </c>
      <c r="O10" s="21">
        <v>45536</v>
      </c>
      <c r="P10" s="20">
        <v>45552</v>
      </c>
      <c r="Q10" s="13" t="s">
        <v>166</v>
      </c>
      <c r="R10" s="12" t="s">
        <v>166</v>
      </c>
    </row>
    <row r="11" spans="1:18" ht="20.100000000000001" customHeight="1" x14ac:dyDescent="0.25">
      <c r="A11" s="13" t="s">
        <v>31</v>
      </c>
      <c r="B11" s="13" t="s">
        <v>239</v>
      </c>
      <c r="C11" s="13" t="s">
        <v>32</v>
      </c>
      <c r="D11" s="13" t="s">
        <v>33</v>
      </c>
      <c r="E11" s="13" t="s">
        <v>170</v>
      </c>
      <c r="F11" s="13" t="s">
        <v>170</v>
      </c>
      <c r="G11" s="13"/>
      <c r="H11" s="13"/>
      <c r="I11" s="13"/>
      <c r="J11" s="13" t="s">
        <v>35</v>
      </c>
      <c r="K11" s="18">
        <v>6000</v>
      </c>
      <c r="L11" s="19" t="s">
        <v>266</v>
      </c>
      <c r="M11" s="12" t="str" cm="1">
        <f t="array" ref="M11">_xlfn.IFS(P11&lt;=O11,"في الموعد",P11&gt;=O11," متأخر")</f>
        <v xml:space="preserve"> متأخر</v>
      </c>
      <c r="N11" s="21">
        <v>45529</v>
      </c>
      <c r="O11" s="21">
        <v>45550</v>
      </c>
      <c r="P11" s="20">
        <v>45552</v>
      </c>
      <c r="Q11" s="13" t="s">
        <v>167</v>
      </c>
      <c r="R11" s="12" t="s">
        <v>166</v>
      </c>
    </row>
    <row r="12" spans="1:18" ht="20.100000000000001" customHeight="1" x14ac:dyDescent="0.25">
      <c r="A12" s="13" t="s">
        <v>36</v>
      </c>
      <c r="B12" s="13" t="s">
        <v>238</v>
      </c>
      <c r="C12" s="13" t="s">
        <v>53</v>
      </c>
      <c r="D12" s="12" t="s">
        <v>6</v>
      </c>
      <c r="E12" s="12" t="s">
        <v>130</v>
      </c>
      <c r="F12" s="13" t="s">
        <v>142</v>
      </c>
      <c r="G12" s="13" t="s">
        <v>132</v>
      </c>
      <c r="H12" s="13">
        <v>80</v>
      </c>
      <c r="I12" s="12" t="s">
        <v>143</v>
      </c>
      <c r="J12" s="13" t="s">
        <v>37</v>
      </c>
      <c r="K12" s="18">
        <v>10499</v>
      </c>
      <c r="L12" s="19" t="s">
        <v>266</v>
      </c>
      <c r="M12" s="12" t="str" cm="1">
        <f t="array" ref="M12">_xlfn.IFS(P12&lt;=O12,"في الموعد",P12&gt;=O12," متأخر")</f>
        <v>في الموعد</v>
      </c>
      <c r="N12" s="21">
        <v>45536</v>
      </c>
      <c r="O12" s="21">
        <v>45551</v>
      </c>
      <c r="P12" s="21">
        <v>45543</v>
      </c>
      <c r="Q12" s="13" t="s">
        <v>22</v>
      </c>
      <c r="R12" s="12" t="s">
        <v>166</v>
      </c>
    </row>
    <row r="13" spans="1:18" ht="20.100000000000001" customHeight="1" x14ac:dyDescent="0.25">
      <c r="A13" s="13" t="s">
        <v>51</v>
      </c>
      <c r="B13" s="13" t="s">
        <v>238</v>
      </c>
      <c r="C13" s="13" t="s">
        <v>240</v>
      </c>
      <c r="D13" s="12" t="s">
        <v>6</v>
      </c>
      <c r="E13" s="12" t="s">
        <v>130</v>
      </c>
      <c r="F13" s="13" t="s">
        <v>133</v>
      </c>
      <c r="G13" s="13" t="s">
        <v>132</v>
      </c>
      <c r="H13" s="13">
        <v>80</v>
      </c>
      <c r="I13" s="12" t="s">
        <v>143</v>
      </c>
      <c r="J13" s="15" t="s">
        <v>52</v>
      </c>
      <c r="K13" s="18">
        <v>7295</v>
      </c>
      <c r="L13" s="19" t="s">
        <v>266</v>
      </c>
      <c r="M13" s="12" t="str" cm="1">
        <f t="array" ref="M13">_xlfn.IFS(P13&lt;=O13,"في الموعد",P13&gt;=O13," متأخر")</f>
        <v>في الموعد</v>
      </c>
      <c r="N13" s="21">
        <v>45540</v>
      </c>
      <c r="O13" s="21">
        <v>45549</v>
      </c>
      <c r="P13" s="21"/>
      <c r="Q13" s="13" t="s">
        <v>267</v>
      </c>
      <c r="R13" s="13" t="s">
        <v>164</v>
      </c>
    </row>
    <row r="14" spans="1:18" ht="20.100000000000001" customHeight="1" x14ac:dyDescent="0.25">
      <c r="A14" s="13" t="s">
        <v>47</v>
      </c>
      <c r="B14" s="13" t="s">
        <v>238</v>
      </c>
      <c r="C14" s="13" t="s">
        <v>48</v>
      </c>
      <c r="D14" s="12" t="s">
        <v>6</v>
      </c>
      <c r="E14" s="13" t="s">
        <v>137</v>
      </c>
      <c r="F14" s="13" t="s">
        <v>160</v>
      </c>
      <c r="G14" s="13"/>
      <c r="H14" s="13"/>
      <c r="I14" s="13"/>
      <c r="J14" s="15" t="s">
        <v>49</v>
      </c>
      <c r="K14" s="18">
        <v>7849</v>
      </c>
      <c r="L14" s="19" t="s">
        <v>13</v>
      </c>
      <c r="M14" s="12" t="str" cm="1">
        <f t="array" ref="M14">_xlfn.IFS(P14&lt;=O14,"في الموعد",P14&gt;=O14," متأخر")</f>
        <v xml:space="preserve"> متأخر</v>
      </c>
      <c r="N14" s="21">
        <v>45539</v>
      </c>
      <c r="O14" s="21">
        <v>45551</v>
      </c>
      <c r="P14" s="21">
        <v>45560</v>
      </c>
      <c r="Q14" s="13" t="s">
        <v>22</v>
      </c>
      <c r="R14" s="13" t="s">
        <v>166</v>
      </c>
    </row>
    <row r="15" spans="1:18" ht="20.100000000000001" customHeight="1" x14ac:dyDescent="0.25">
      <c r="A15" s="13" t="s">
        <v>41</v>
      </c>
      <c r="B15" s="13" t="s">
        <v>238</v>
      </c>
      <c r="C15" s="13" t="s">
        <v>53</v>
      </c>
      <c r="D15" s="13" t="s">
        <v>42</v>
      </c>
      <c r="E15" s="12" t="s">
        <v>130</v>
      </c>
      <c r="F15" s="13" t="s">
        <v>142</v>
      </c>
      <c r="G15" s="13" t="s">
        <v>135</v>
      </c>
      <c r="H15" s="13">
        <v>120</v>
      </c>
      <c r="I15" s="13" t="s">
        <v>144</v>
      </c>
      <c r="J15" s="13" t="s">
        <v>43</v>
      </c>
      <c r="K15" s="18">
        <v>6180</v>
      </c>
      <c r="L15" s="19" t="s">
        <v>266</v>
      </c>
      <c r="M15" s="12" t="str" cm="1">
        <f t="array" ref="M15">_xlfn.IFS(P15&lt;=O15,"في الموعد",P15&gt;=O15," متأخر")</f>
        <v>في الموعد</v>
      </c>
      <c r="N15" s="21">
        <v>45538</v>
      </c>
      <c r="O15" s="21">
        <v>45551</v>
      </c>
      <c r="P15" s="20">
        <v>45550</v>
      </c>
      <c r="Q15" s="13" t="s">
        <v>167</v>
      </c>
      <c r="R15" s="12" t="s">
        <v>166</v>
      </c>
    </row>
    <row r="16" spans="1:18" ht="20.100000000000001" customHeight="1" x14ac:dyDescent="0.25">
      <c r="A16" s="13" t="s">
        <v>25</v>
      </c>
      <c r="B16" s="13" t="s">
        <v>239</v>
      </c>
      <c r="C16" s="13" t="s">
        <v>240</v>
      </c>
      <c r="D16" s="12" t="s">
        <v>25</v>
      </c>
      <c r="E16" s="12" t="s">
        <v>130</v>
      </c>
      <c r="F16" s="13" t="s">
        <v>142</v>
      </c>
      <c r="G16" s="13" t="s">
        <v>175</v>
      </c>
      <c r="H16" s="13">
        <v>100</v>
      </c>
      <c r="I16" s="12" t="s">
        <v>191</v>
      </c>
      <c r="J16" s="13"/>
      <c r="K16" s="18">
        <v>12777.5</v>
      </c>
      <c r="L16" s="19" t="s">
        <v>266</v>
      </c>
      <c r="M16" s="19" t="str" cm="1">
        <f t="array" ref="M16">_xlfn.IFS(P16&lt;=O16,"في الموعد",P16&gt;=O16," متأخر")</f>
        <v xml:space="preserve"> متأخر</v>
      </c>
      <c r="N16" s="21">
        <v>45587</v>
      </c>
      <c r="O16" s="21">
        <v>45608</v>
      </c>
      <c r="P16" s="21">
        <v>45614</v>
      </c>
      <c r="Q16" s="13" t="s">
        <v>167</v>
      </c>
      <c r="R16" s="13" t="s">
        <v>166</v>
      </c>
    </row>
    <row r="17" spans="1:18" ht="20.100000000000001" customHeight="1" x14ac:dyDescent="0.25">
      <c r="A17" s="12" t="s">
        <v>33</v>
      </c>
      <c r="B17" s="12" t="s">
        <v>239</v>
      </c>
      <c r="C17" s="13" t="s">
        <v>32</v>
      </c>
      <c r="D17" s="13" t="s">
        <v>33</v>
      </c>
      <c r="E17" s="12" t="s">
        <v>140</v>
      </c>
      <c r="F17" s="12" t="s">
        <v>141</v>
      </c>
      <c r="G17" s="12"/>
      <c r="H17" s="12"/>
      <c r="I17" s="12"/>
      <c r="J17" s="13" t="s">
        <v>50</v>
      </c>
      <c r="K17" s="19">
        <v>9300</v>
      </c>
      <c r="L17" s="19" t="s">
        <v>266</v>
      </c>
      <c r="M17" s="12" t="str" cm="1">
        <f t="array" ref="M17">_xlfn.IFS(P17&lt;=O17,"في الموعد",P17&gt;=O17," متأخر")</f>
        <v xml:space="preserve"> متأخر</v>
      </c>
      <c r="N17" s="20">
        <v>45539</v>
      </c>
      <c r="O17" s="20">
        <v>45550</v>
      </c>
      <c r="P17" s="20">
        <v>45552</v>
      </c>
      <c r="Q17" s="13" t="s">
        <v>167</v>
      </c>
      <c r="R17" s="12" t="s">
        <v>166</v>
      </c>
    </row>
    <row r="18" spans="1:18" ht="20.100000000000001" customHeight="1" x14ac:dyDescent="0.25">
      <c r="A18" s="13" t="s">
        <v>27</v>
      </c>
      <c r="B18" s="13" t="s">
        <v>238</v>
      </c>
      <c r="C18" s="13" t="s">
        <v>53</v>
      </c>
      <c r="D18" s="12" t="s">
        <v>6</v>
      </c>
      <c r="E18" s="12" t="s">
        <v>130</v>
      </c>
      <c r="F18" s="13" t="s">
        <v>133</v>
      </c>
      <c r="G18" s="13" t="s">
        <v>153</v>
      </c>
      <c r="H18" s="13">
        <v>80</v>
      </c>
      <c r="I18" s="12" t="s">
        <v>143</v>
      </c>
      <c r="J18" s="15" t="s">
        <v>54</v>
      </c>
      <c r="K18" s="18">
        <v>31948</v>
      </c>
      <c r="L18" s="19" t="s">
        <v>13</v>
      </c>
      <c r="M18" s="12" t="str" cm="1">
        <f t="array" ref="M18">_xlfn.IFS(P18&lt;=O18,"في الموعد",P18&gt;=O18," متأخر")</f>
        <v xml:space="preserve"> متأخر</v>
      </c>
      <c r="N18" s="21">
        <v>45541</v>
      </c>
      <c r="O18" s="21">
        <v>45551</v>
      </c>
      <c r="P18" s="21">
        <v>45556</v>
      </c>
      <c r="Q18" s="13" t="s">
        <v>167</v>
      </c>
      <c r="R18" s="12" t="s">
        <v>166</v>
      </c>
    </row>
    <row r="19" spans="1:18" ht="20.100000000000001" customHeight="1" x14ac:dyDescent="0.25">
      <c r="A19" s="13" t="s">
        <v>90</v>
      </c>
      <c r="B19" s="13" t="s">
        <v>238</v>
      </c>
      <c r="C19" s="13" t="s">
        <v>91</v>
      </c>
      <c r="D19" s="12" t="s">
        <v>6</v>
      </c>
      <c r="E19" s="13" t="s">
        <v>137</v>
      </c>
      <c r="F19" s="13" t="s">
        <v>160</v>
      </c>
      <c r="G19" s="13"/>
      <c r="H19" s="13"/>
      <c r="I19" s="13"/>
      <c r="J19" s="15" t="s">
        <v>49</v>
      </c>
      <c r="K19" s="18">
        <v>8849</v>
      </c>
      <c r="L19" s="19" t="s">
        <v>13</v>
      </c>
      <c r="M19" s="12" t="str" cm="1">
        <f t="array" ref="M19">_xlfn.IFS(P19&lt;=O19,"في الموعد",P19&gt;=O19," متأخر")</f>
        <v>في الموعد</v>
      </c>
      <c r="N19" s="21">
        <v>45538</v>
      </c>
      <c r="O19" s="21">
        <v>45581</v>
      </c>
      <c r="P19" s="21"/>
      <c r="Q19" s="13" t="s">
        <v>267</v>
      </c>
      <c r="R19" s="13" t="s">
        <v>164</v>
      </c>
    </row>
    <row r="20" spans="1:18" ht="20.100000000000001" customHeight="1" x14ac:dyDescent="0.25">
      <c r="A20" s="13" t="s">
        <v>55</v>
      </c>
      <c r="B20" s="12" t="s">
        <v>238</v>
      </c>
      <c r="C20" s="13" t="s">
        <v>240</v>
      </c>
      <c r="D20" s="12" t="s">
        <v>6</v>
      </c>
      <c r="E20" s="12" t="s">
        <v>130</v>
      </c>
      <c r="F20" s="13" t="s">
        <v>133</v>
      </c>
      <c r="G20" s="13" t="s">
        <v>136</v>
      </c>
      <c r="H20" s="13">
        <v>120</v>
      </c>
      <c r="I20" s="12" t="s">
        <v>143</v>
      </c>
      <c r="J20" s="15" t="s">
        <v>56</v>
      </c>
      <c r="K20" s="18">
        <v>10987</v>
      </c>
      <c r="L20" s="19" t="s">
        <v>13</v>
      </c>
      <c r="M20" s="12" t="str" cm="1">
        <f t="array" ref="M20">_xlfn.IFS(P20&lt;=O20,"في الموعد",P20&gt;=O20," متأخر")</f>
        <v xml:space="preserve"> متأخر</v>
      </c>
      <c r="N20" s="21">
        <v>45544</v>
      </c>
      <c r="O20" s="21">
        <v>45552</v>
      </c>
      <c r="P20" s="21">
        <v>45556</v>
      </c>
      <c r="Q20" s="13" t="s">
        <v>167</v>
      </c>
      <c r="R20" s="12" t="s">
        <v>166</v>
      </c>
    </row>
    <row r="21" spans="1:18" ht="20.100000000000001" customHeight="1" x14ac:dyDescent="0.25">
      <c r="A21" s="13" t="s">
        <v>44</v>
      </c>
      <c r="B21" s="13" t="s">
        <v>239</v>
      </c>
      <c r="C21" s="13" t="s">
        <v>45</v>
      </c>
      <c r="D21" s="13" t="s">
        <v>6</v>
      </c>
      <c r="E21" s="12" t="s">
        <v>130</v>
      </c>
      <c r="F21" s="13" t="s">
        <v>142</v>
      </c>
      <c r="G21" s="13" t="s">
        <v>134</v>
      </c>
      <c r="H21" s="13">
        <v>80</v>
      </c>
      <c r="I21" s="12" t="s">
        <v>143</v>
      </c>
      <c r="J21" s="15" t="s">
        <v>46</v>
      </c>
      <c r="K21" s="18">
        <v>11199</v>
      </c>
      <c r="L21" s="19" t="s">
        <v>266</v>
      </c>
      <c r="M21" s="12" t="str" cm="1">
        <f t="array" ref="M21">_xlfn.IFS(P21&lt;=O21,"في الموعد",P21&gt;=O21," متأخر")</f>
        <v>في الموعد</v>
      </c>
      <c r="N21" s="21">
        <v>45539</v>
      </c>
      <c r="O21" s="21">
        <v>45553</v>
      </c>
      <c r="P21" s="21"/>
      <c r="Q21" s="13" t="s">
        <v>267</v>
      </c>
      <c r="R21" s="12" t="s">
        <v>164</v>
      </c>
    </row>
    <row r="22" spans="1:18" ht="20.100000000000001" customHeight="1" x14ac:dyDescent="0.25">
      <c r="A22" s="13" t="s">
        <v>207</v>
      </c>
      <c r="B22" s="13" t="s">
        <v>239</v>
      </c>
      <c r="C22" s="13" t="s">
        <v>208</v>
      </c>
      <c r="D22" s="13" t="s">
        <v>6</v>
      </c>
      <c r="E22" s="12" t="s">
        <v>130</v>
      </c>
      <c r="F22" s="13" t="s">
        <v>133</v>
      </c>
      <c r="G22" s="13" t="s">
        <v>136</v>
      </c>
      <c r="H22" s="13">
        <v>120</v>
      </c>
      <c r="I22" s="13" t="s">
        <v>148</v>
      </c>
      <c r="J22" s="15"/>
      <c r="K22" s="18">
        <v>10885</v>
      </c>
      <c r="L22" s="19" t="s">
        <v>266</v>
      </c>
      <c r="M22" s="12" t="str" cm="1">
        <f t="array" ref="M22">_xlfn.IFS(P22&lt;=O22,"في الموعد",P22&gt;=O22," متأخر")</f>
        <v xml:space="preserve"> متأخر</v>
      </c>
      <c r="N22" s="21">
        <v>45620</v>
      </c>
      <c r="O22" s="21">
        <v>45631</v>
      </c>
      <c r="P22" s="21">
        <v>45636</v>
      </c>
      <c r="Q22" s="13" t="s">
        <v>167</v>
      </c>
      <c r="R22" s="12" t="s">
        <v>166</v>
      </c>
    </row>
    <row r="23" spans="1:18" ht="20.100000000000001" customHeight="1" x14ac:dyDescent="0.25">
      <c r="A23" s="13" t="s">
        <v>25</v>
      </c>
      <c r="B23" s="13" t="s">
        <v>239</v>
      </c>
      <c r="C23" s="13" t="s">
        <v>179</v>
      </c>
      <c r="D23" s="13" t="s">
        <v>25</v>
      </c>
      <c r="E23" s="12" t="s">
        <v>130</v>
      </c>
      <c r="F23" s="13" t="s">
        <v>142</v>
      </c>
      <c r="G23" s="13" t="s">
        <v>134</v>
      </c>
      <c r="H23" s="13">
        <v>100</v>
      </c>
      <c r="I23" s="12" t="s">
        <v>144</v>
      </c>
      <c r="J23" s="15"/>
      <c r="K23" s="18">
        <v>10045</v>
      </c>
      <c r="L23" s="19" t="s">
        <v>266</v>
      </c>
      <c r="M23" s="12" t="str" cm="1">
        <f t="array" ref="M23">_xlfn.IFS(P23&lt;=O23,"في الموعد",P23&gt;=O23," متأخر")</f>
        <v>في الموعد</v>
      </c>
      <c r="N23" s="21">
        <v>45591</v>
      </c>
      <c r="O23" s="21">
        <v>45612</v>
      </c>
      <c r="P23" s="21"/>
      <c r="Q23" s="13" t="s">
        <v>267</v>
      </c>
      <c r="R23" s="12" t="s">
        <v>164</v>
      </c>
    </row>
    <row r="24" spans="1:18" ht="20.100000000000001" customHeight="1" x14ac:dyDescent="0.25">
      <c r="A24" s="13" t="s">
        <v>65</v>
      </c>
      <c r="B24" s="13" t="s">
        <v>239</v>
      </c>
      <c r="C24" s="13" t="s">
        <v>66</v>
      </c>
      <c r="D24" s="13" t="s">
        <v>206</v>
      </c>
      <c r="E24" s="12" t="s">
        <v>130</v>
      </c>
      <c r="F24" s="13" t="s">
        <v>147</v>
      </c>
      <c r="G24" s="13" t="s">
        <v>135</v>
      </c>
      <c r="H24" s="13">
        <v>100</v>
      </c>
      <c r="I24" s="13" t="s">
        <v>144</v>
      </c>
      <c r="J24" s="15" t="s">
        <v>67</v>
      </c>
      <c r="K24" s="18">
        <v>9450</v>
      </c>
      <c r="L24" s="19" t="s">
        <v>266</v>
      </c>
      <c r="M24" s="12" t="str" cm="1">
        <f t="array" ref="M24">_xlfn.IFS(P24&lt;=O24,"في الموعد",P24&gt;=O24," متأخر")</f>
        <v>في الموعد</v>
      </c>
      <c r="N24" s="21">
        <v>45547</v>
      </c>
      <c r="O24" s="21">
        <v>45561</v>
      </c>
      <c r="P24" s="21"/>
      <c r="Q24" s="13" t="s">
        <v>267</v>
      </c>
      <c r="R24" s="12" t="s">
        <v>164</v>
      </c>
    </row>
    <row r="25" spans="1:18" ht="20.100000000000001" customHeight="1" x14ac:dyDescent="0.25">
      <c r="A25" s="13" t="s">
        <v>124</v>
      </c>
      <c r="B25" s="13" t="s">
        <v>238</v>
      </c>
      <c r="C25" s="13" t="s">
        <v>125</v>
      </c>
      <c r="D25" s="12" t="s">
        <v>6</v>
      </c>
      <c r="E25" s="12" t="s">
        <v>130</v>
      </c>
      <c r="F25" s="12" t="s">
        <v>131</v>
      </c>
      <c r="G25" s="13"/>
      <c r="H25" s="13"/>
      <c r="I25" s="13" t="s">
        <v>144</v>
      </c>
      <c r="J25" s="15" t="s">
        <v>126</v>
      </c>
      <c r="K25" s="18">
        <v>9399</v>
      </c>
      <c r="L25" s="19" t="s">
        <v>98</v>
      </c>
      <c r="M25" s="12" t="str" cm="1">
        <f t="array" ref="M25">_xlfn.IFS(P25&lt;=O25,"في الموعد",P25&gt;=O25," متأخر")</f>
        <v xml:space="preserve"> متأخر</v>
      </c>
      <c r="N25" s="21">
        <v>45549</v>
      </c>
      <c r="O25" s="21">
        <v>45557</v>
      </c>
      <c r="P25" s="21">
        <v>45587</v>
      </c>
      <c r="Q25" s="13" t="s">
        <v>28</v>
      </c>
      <c r="R25" s="13" t="s">
        <v>163</v>
      </c>
    </row>
    <row r="26" spans="1:18" ht="20.100000000000001" customHeight="1" x14ac:dyDescent="0.25">
      <c r="A26" s="13" t="s">
        <v>127</v>
      </c>
      <c r="B26" s="13" t="s">
        <v>238</v>
      </c>
      <c r="C26" s="13" t="s">
        <v>128</v>
      </c>
      <c r="D26" s="12" t="s">
        <v>6</v>
      </c>
      <c r="E26" s="13" t="s">
        <v>137</v>
      </c>
      <c r="F26" s="13" t="s">
        <v>161</v>
      </c>
      <c r="G26" s="13"/>
      <c r="H26" s="13"/>
      <c r="I26" s="13"/>
      <c r="J26" s="15" t="s">
        <v>129</v>
      </c>
      <c r="K26" s="18">
        <v>8349</v>
      </c>
      <c r="L26" s="19" t="s">
        <v>98</v>
      </c>
      <c r="M26" s="12" t="str" cm="1">
        <f t="array" ref="M26">_xlfn.IFS(P26&lt;=O26,"في الموعد",P26&gt;=O26," متأخر")</f>
        <v xml:space="preserve"> متأخر</v>
      </c>
      <c r="N26" s="21">
        <v>45549</v>
      </c>
      <c r="O26" s="21">
        <v>45557</v>
      </c>
      <c r="P26" s="21">
        <v>45559</v>
      </c>
      <c r="Q26" s="13" t="s">
        <v>22</v>
      </c>
      <c r="R26" s="12" t="s">
        <v>166</v>
      </c>
    </row>
    <row r="27" spans="1:18" ht="20.100000000000001" customHeight="1" x14ac:dyDescent="0.25">
      <c r="A27" s="13" t="s">
        <v>88</v>
      </c>
      <c r="B27" s="12" t="s">
        <v>238</v>
      </c>
      <c r="C27" s="13" t="s">
        <v>240</v>
      </c>
      <c r="D27" s="12" t="s">
        <v>6</v>
      </c>
      <c r="E27" s="12" t="s">
        <v>130</v>
      </c>
      <c r="F27" s="12" t="s">
        <v>131</v>
      </c>
      <c r="G27" s="13"/>
      <c r="H27" s="13"/>
      <c r="I27" s="13" t="s">
        <v>144</v>
      </c>
      <c r="J27" s="15" t="s">
        <v>89</v>
      </c>
      <c r="K27" s="18">
        <v>9399</v>
      </c>
      <c r="L27" s="19" t="s">
        <v>13</v>
      </c>
      <c r="M27" s="12" t="str" cm="1">
        <f t="array" ref="M27">_xlfn.IFS(P27&lt;=O27,"في الموعد",P27&gt;=O27," متأخر")</f>
        <v xml:space="preserve"> متأخر</v>
      </c>
      <c r="N27" s="21">
        <v>45548</v>
      </c>
      <c r="O27" s="21">
        <v>45559</v>
      </c>
      <c r="P27" s="21">
        <v>45564</v>
      </c>
      <c r="Q27" s="13" t="s">
        <v>22</v>
      </c>
      <c r="R27" s="12" t="s">
        <v>166</v>
      </c>
    </row>
    <row r="28" spans="1:18" ht="20.100000000000001" customHeight="1" x14ac:dyDescent="0.25">
      <c r="A28" s="13" t="s">
        <v>57</v>
      </c>
      <c r="B28" s="12" t="s">
        <v>238</v>
      </c>
      <c r="C28" s="13" t="s">
        <v>58</v>
      </c>
      <c r="D28" s="12" t="s">
        <v>6</v>
      </c>
      <c r="E28" s="13" t="s">
        <v>137</v>
      </c>
      <c r="F28" s="13" t="s">
        <v>160</v>
      </c>
      <c r="G28" s="13"/>
      <c r="H28" s="13"/>
      <c r="I28" s="13"/>
      <c r="J28" s="15" t="s">
        <v>49</v>
      </c>
      <c r="K28" s="18">
        <v>7849</v>
      </c>
      <c r="L28" s="19" t="s">
        <v>266</v>
      </c>
      <c r="M28" s="12" t="str" cm="1">
        <f t="array" ref="M28">_xlfn.IFS(P28&lt;=O28,"في الموعد",P28&gt;=O28," متأخر")</f>
        <v xml:space="preserve"> متأخر</v>
      </c>
      <c r="N28" s="21">
        <v>45547</v>
      </c>
      <c r="O28" s="21">
        <v>45561</v>
      </c>
      <c r="P28" s="21">
        <v>45565</v>
      </c>
      <c r="Q28" s="13" t="s">
        <v>22</v>
      </c>
      <c r="R28" s="13" t="s">
        <v>166</v>
      </c>
    </row>
    <row r="29" spans="1:18" ht="20.100000000000001" customHeight="1" x14ac:dyDescent="0.25">
      <c r="A29" s="13" t="s">
        <v>25</v>
      </c>
      <c r="B29" s="13" t="s">
        <v>239</v>
      </c>
      <c r="C29" s="13" t="s">
        <v>179</v>
      </c>
      <c r="D29" s="13" t="s">
        <v>25</v>
      </c>
      <c r="E29" s="12" t="s">
        <v>130</v>
      </c>
      <c r="F29" s="13" t="s">
        <v>142</v>
      </c>
      <c r="G29" s="13" t="s">
        <v>134</v>
      </c>
      <c r="H29" s="13">
        <v>100</v>
      </c>
      <c r="I29" s="13" t="s">
        <v>143</v>
      </c>
      <c r="J29" s="15" t="s">
        <v>38</v>
      </c>
      <c r="K29" s="18">
        <v>9208</v>
      </c>
      <c r="L29" s="19" t="s">
        <v>266</v>
      </c>
      <c r="M29" s="19" t="str" cm="1">
        <f t="array" ref="M29">_xlfn.IFS(P29&lt;=O29,"في الموعد",P29&gt;=O29," متأخر")</f>
        <v xml:space="preserve"> متأخر</v>
      </c>
      <c r="N29" s="21">
        <v>45536</v>
      </c>
      <c r="O29" s="21">
        <v>45554</v>
      </c>
      <c r="P29" s="21">
        <v>45556</v>
      </c>
      <c r="Q29" s="13" t="s">
        <v>167</v>
      </c>
      <c r="R29" s="13" t="s">
        <v>166</v>
      </c>
    </row>
    <row r="30" spans="1:18" ht="20.100000000000001" customHeight="1" x14ac:dyDescent="0.25">
      <c r="A30" s="13" t="s">
        <v>80</v>
      </c>
      <c r="B30" s="13" t="s">
        <v>238</v>
      </c>
      <c r="C30" s="13" t="s">
        <v>53</v>
      </c>
      <c r="D30" s="12" t="s">
        <v>6</v>
      </c>
      <c r="E30" s="12" t="s">
        <v>130</v>
      </c>
      <c r="F30" s="13" t="s">
        <v>133</v>
      </c>
      <c r="G30" s="13" t="s">
        <v>136</v>
      </c>
      <c r="H30" s="13">
        <v>120</v>
      </c>
      <c r="I30" s="13" t="s">
        <v>144</v>
      </c>
      <c r="J30" s="15" t="s">
        <v>81</v>
      </c>
      <c r="K30" s="18">
        <v>7460</v>
      </c>
      <c r="L30" s="19" t="s">
        <v>13</v>
      </c>
      <c r="M30" s="12" t="str" cm="1">
        <f t="array" ref="M30">_xlfn.IFS(P30&lt;=O30,"في الموعد",P30&gt;=O30," متأخر")</f>
        <v xml:space="preserve"> متأخر</v>
      </c>
      <c r="N30" s="21">
        <v>45548</v>
      </c>
      <c r="O30" s="21">
        <v>45561</v>
      </c>
      <c r="P30" s="21">
        <v>45568</v>
      </c>
      <c r="Q30" s="13" t="s">
        <v>167</v>
      </c>
      <c r="R30" s="12" t="s">
        <v>166</v>
      </c>
    </row>
    <row r="31" spans="1:18" ht="20.100000000000001" customHeight="1" x14ac:dyDescent="0.25">
      <c r="A31" s="13" t="s">
        <v>84</v>
      </c>
      <c r="B31" s="13" t="s">
        <v>238</v>
      </c>
      <c r="C31" s="13" t="s">
        <v>53</v>
      </c>
      <c r="D31" s="12" t="s">
        <v>6</v>
      </c>
      <c r="E31" s="12" t="s">
        <v>130</v>
      </c>
      <c r="F31" s="13" t="s">
        <v>133</v>
      </c>
      <c r="G31" s="13" t="s">
        <v>154</v>
      </c>
      <c r="H31" s="13">
        <v>140</v>
      </c>
      <c r="I31" s="13" t="s">
        <v>152</v>
      </c>
      <c r="J31" s="15" t="s">
        <v>85</v>
      </c>
      <c r="K31" s="18">
        <v>9528</v>
      </c>
      <c r="L31" s="19" t="s">
        <v>13</v>
      </c>
      <c r="M31" s="12" t="str" cm="1">
        <f t="array" ref="M31">_xlfn.IFS(P31&lt;=O31,"في الموعد",P31&gt;=O31," متأخر")</f>
        <v xml:space="preserve"> متأخر</v>
      </c>
      <c r="N31" s="21">
        <v>45548</v>
      </c>
      <c r="O31" s="21">
        <v>45561</v>
      </c>
      <c r="P31" s="21">
        <v>45568</v>
      </c>
      <c r="Q31" s="13" t="s">
        <v>167</v>
      </c>
      <c r="R31" s="12" t="s">
        <v>166</v>
      </c>
    </row>
    <row r="32" spans="1:18" ht="20.100000000000001" customHeight="1" x14ac:dyDescent="0.25">
      <c r="A32" s="13" t="s">
        <v>122</v>
      </c>
      <c r="B32" s="12" t="s">
        <v>238</v>
      </c>
      <c r="C32" s="13" t="s">
        <v>240</v>
      </c>
      <c r="D32" s="12" t="s">
        <v>6</v>
      </c>
      <c r="E32" s="12" t="s">
        <v>130</v>
      </c>
      <c r="F32" s="13" t="s">
        <v>142</v>
      </c>
      <c r="G32" s="13" t="s">
        <v>135</v>
      </c>
      <c r="H32" s="13">
        <v>120</v>
      </c>
      <c r="I32" s="13" t="s">
        <v>148</v>
      </c>
      <c r="J32" s="15" t="s">
        <v>123</v>
      </c>
      <c r="K32" s="18">
        <v>12999</v>
      </c>
      <c r="L32" s="19" t="s">
        <v>13</v>
      </c>
      <c r="M32" s="12" t="str" cm="1">
        <f t="array" ref="M32">_xlfn.IFS(P32&lt;=O32,"في الموعد",P32&gt;=O32," متأخر")</f>
        <v xml:space="preserve"> متأخر</v>
      </c>
      <c r="N32" s="21">
        <v>45549</v>
      </c>
      <c r="O32" s="21">
        <v>45562</v>
      </c>
      <c r="P32" s="21">
        <v>45567</v>
      </c>
      <c r="Q32" s="13" t="s">
        <v>167</v>
      </c>
      <c r="R32" s="12" t="s">
        <v>166</v>
      </c>
    </row>
    <row r="33" spans="1:18" ht="20.100000000000001" customHeight="1" x14ac:dyDescent="0.25">
      <c r="A33" s="13" t="s">
        <v>59</v>
      </c>
      <c r="B33" s="13" t="s">
        <v>238</v>
      </c>
      <c r="C33" s="13" t="s">
        <v>60</v>
      </c>
      <c r="D33" s="12" t="s">
        <v>6</v>
      </c>
      <c r="E33" s="12" t="s">
        <v>130</v>
      </c>
      <c r="F33" s="13" t="s">
        <v>142</v>
      </c>
      <c r="G33" s="13" t="s">
        <v>132</v>
      </c>
      <c r="H33" s="13">
        <v>90</v>
      </c>
      <c r="I33" s="13" t="s">
        <v>144</v>
      </c>
      <c r="J33" s="15" t="s">
        <v>63</v>
      </c>
      <c r="K33" s="18">
        <v>5999</v>
      </c>
      <c r="L33" s="19" t="s">
        <v>13</v>
      </c>
      <c r="M33" s="12" t="str" cm="1">
        <f t="array" ref="M33">_xlfn.IFS(P33&lt;=O33,"في الموعد",P33&gt;=O33," متأخر")</f>
        <v>في الموعد</v>
      </c>
      <c r="N33" s="21">
        <v>45547</v>
      </c>
      <c r="O33" s="21">
        <v>45564</v>
      </c>
      <c r="P33" s="21"/>
      <c r="Q33" s="13"/>
      <c r="R33" s="13"/>
    </row>
    <row r="34" spans="1:18" ht="20.100000000000001" customHeight="1" x14ac:dyDescent="0.25">
      <c r="A34" s="13" t="s">
        <v>61</v>
      </c>
      <c r="B34" s="13" t="s">
        <v>238</v>
      </c>
      <c r="C34" s="13" t="s">
        <v>62</v>
      </c>
      <c r="D34" s="12" t="s">
        <v>6</v>
      </c>
      <c r="E34" s="12" t="s">
        <v>130</v>
      </c>
      <c r="F34" s="13" t="s">
        <v>142</v>
      </c>
      <c r="G34" s="13" t="s">
        <v>135</v>
      </c>
      <c r="H34" s="13">
        <v>100</v>
      </c>
      <c r="I34" s="13" t="s">
        <v>144</v>
      </c>
      <c r="J34" s="15" t="s">
        <v>64</v>
      </c>
      <c r="K34" s="18">
        <v>11949</v>
      </c>
      <c r="L34" s="19" t="s">
        <v>266</v>
      </c>
      <c r="M34" s="12" t="str" cm="1">
        <f t="array" ref="M34">_xlfn.IFS(P34&lt;=O34,"في الموعد",P34&gt;=O34," متأخر")</f>
        <v xml:space="preserve"> متأخر</v>
      </c>
      <c r="N34" s="21">
        <v>45547</v>
      </c>
      <c r="O34" s="21">
        <v>45564</v>
      </c>
      <c r="P34" s="21">
        <v>45567</v>
      </c>
      <c r="Q34" s="13" t="s">
        <v>167</v>
      </c>
      <c r="R34" s="12" t="s">
        <v>166</v>
      </c>
    </row>
    <row r="35" spans="1:18" ht="20.100000000000001" customHeight="1" x14ac:dyDescent="0.25">
      <c r="A35" s="13" t="s">
        <v>27</v>
      </c>
      <c r="B35" s="13" t="s">
        <v>238</v>
      </c>
      <c r="C35" s="13" t="s">
        <v>73</v>
      </c>
      <c r="D35" s="12" t="s">
        <v>6</v>
      </c>
      <c r="E35" s="12" t="s">
        <v>130</v>
      </c>
      <c r="F35" s="13" t="s">
        <v>147</v>
      </c>
      <c r="G35" s="13" t="s">
        <v>135</v>
      </c>
      <c r="H35" s="13">
        <v>80</v>
      </c>
      <c r="I35" s="12" t="s">
        <v>143</v>
      </c>
      <c r="J35" s="15" t="s">
        <v>76</v>
      </c>
      <c r="K35" s="18">
        <v>16599</v>
      </c>
      <c r="L35" s="19" t="s">
        <v>13</v>
      </c>
      <c r="M35" s="12" t="str" cm="1">
        <f t="array" ref="M35">_xlfn.IFS(P35&lt;=O35,"في الموعد",P35&gt;=O35," متأخر")</f>
        <v xml:space="preserve"> متأخر</v>
      </c>
      <c r="N35" s="21">
        <v>45548</v>
      </c>
      <c r="O35" s="21">
        <v>45565</v>
      </c>
      <c r="P35" s="21">
        <v>45568</v>
      </c>
      <c r="Q35" s="13" t="s">
        <v>167</v>
      </c>
      <c r="R35" s="12" t="s">
        <v>166</v>
      </c>
    </row>
    <row r="36" spans="1:18" ht="20.100000000000001" customHeight="1" x14ac:dyDescent="0.25">
      <c r="A36" s="13" t="s">
        <v>74</v>
      </c>
      <c r="B36" s="13" t="s">
        <v>238</v>
      </c>
      <c r="C36" s="13" t="s">
        <v>20</v>
      </c>
      <c r="D36" s="12" t="s">
        <v>6</v>
      </c>
      <c r="E36" s="12" t="s">
        <v>130</v>
      </c>
      <c r="F36" s="13" t="s">
        <v>142</v>
      </c>
      <c r="G36" s="13" t="s">
        <v>135</v>
      </c>
      <c r="H36" s="13">
        <v>80</v>
      </c>
      <c r="I36" s="12" t="s">
        <v>143</v>
      </c>
      <c r="J36" s="15" t="s">
        <v>75</v>
      </c>
      <c r="K36" s="18">
        <v>10999</v>
      </c>
      <c r="L36" s="19" t="s">
        <v>13</v>
      </c>
      <c r="M36" s="12" t="str" cm="1">
        <f t="array" ref="M36">_xlfn.IFS(P36&lt;=O36,"في الموعد",P36&gt;=O36," متأخر")</f>
        <v xml:space="preserve"> متأخر</v>
      </c>
      <c r="N36" s="21">
        <v>45548</v>
      </c>
      <c r="O36" s="21">
        <v>45565</v>
      </c>
      <c r="P36" s="21">
        <v>45581</v>
      </c>
      <c r="Q36" s="13" t="s">
        <v>22</v>
      </c>
      <c r="R36" s="12" t="s">
        <v>166</v>
      </c>
    </row>
    <row r="37" spans="1:18" ht="20.100000000000001" customHeight="1" x14ac:dyDescent="0.25">
      <c r="A37" s="13" t="s">
        <v>77</v>
      </c>
      <c r="B37" s="13" t="s">
        <v>238</v>
      </c>
      <c r="C37" s="13" t="s">
        <v>78</v>
      </c>
      <c r="D37" s="12" t="s">
        <v>6</v>
      </c>
      <c r="E37" s="12" t="s">
        <v>130</v>
      </c>
      <c r="F37" s="13" t="s">
        <v>142</v>
      </c>
      <c r="G37" s="13" t="s">
        <v>135</v>
      </c>
      <c r="H37" s="13">
        <v>140</v>
      </c>
      <c r="I37" s="13" t="s">
        <v>146</v>
      </c>
      <c r="J37" s="15" t="s">
        <v>79</v>
      </c>
      <c r="K37" s="18">
        <v>13099</v>
      </c>
      <c r="L37" s="19" t="s">
        <v>13</v>
      </c>
      <c r="M37" s="12" t="str" cm="1">
        <f t="array" ref="M37">_xlfn.IFS(P37&lt;=O37,"في الموعد",P37&gt;=O37," متأخر")</f>
        <v xml:space="preserve"> متأخر</v>
      </c>
      <c r="N37" s="21">
        <v>45548</v>
      </c>
      <c r="O37" s="21">
        <v>45565</v>
      </c>
      <c r="P37" s="21">
        <v>45568</v>
      </c>
      <c r="Q37" s="13" t="s">
        <v>22</v>
      </c>
      <c r="R37" s="12" t="s">
        <v>166</v>
      </c>
    </row>
    <row r="38" spans="1:18" ht="20.100000000000001" customHeight="1" x14ac:dyDescent="0.25">
      <c r="A38" s="13" t="s">
        <v>82</v>
      </c>
      <c r="B38" s="13" t="s">
        <v>238</v>
      </c>
      <c r="C38" s="13" t="s">
        <v>240</v>
      </c>
      <c r="D38" s="12" t="s">
        <v>6</v>
      </c>
      <c r="E38" s="12" t="s">
        <v>130</v>
      </c>
      <c r="F38" s="13" t="s">
        <v>142</v>
      </c>
      <c r="G38" s="13" t="s">
        <v>134</v>
      </c>
      <c r="H38" s="13">
        <v>120</v>
      </c>
      <c r="I38" s="13" t="s">
        <v>149</v>
      </c>
      <c r="J38" s="15" t="s">
        <v>83</v>
      </c>
      <c r="K38" s="18">
        <v>13849</v>
      </c>
      <c r="L38" s="19" t="s">
        <v>13</v>
      </c>
      <c r="M38" s="12" t="str" cm="1">
        <f t="array" ref="M38">_xlfn.IFS(P38&lt;=O38,"في الموعد",P38&gt;=O38," متأخر")</f>
        <v xml:space="preserve"> متأخر</v>
      </c>
      <c r="N38" s="21">
        <v>45548</v>
      </c>
      <c r="O38" s="21">
        <v>45565</v>
      </c>
      <c r="P38" s="21">
        <v>45585</v>
      </c>
      <c r="Q38" s="13" t="s">
        <v>167</v>
      </c>
      <c r="R38" s="12" t="s">
        <v>166</v>
      </c>
    </row>
    <row r="39" spans="1:18" ht="20.100000000000001" customHeight="1" x14ac:dyDescent="0.25">
      <c r="A39" s="13" t="s">
        <v>86</v>
      </c>
      <c r="B39" s="13" t="s">
        <v>238</v>
      </c>
      <c r="C39" s="13" t="s">
        <v>53</v>
      </c>
      <c r="D39" s="12" t="s">
        <v>6</v>
      </c>
      <c r="E39" s="13" t="s">
        <v>170</v>
      </c>
      <c r="F39" s="13" t="s">
        <v>171</v>
      </c>
      <c r="G39" s="13"/>
      <c r="H39" s="13"/>
      <c r="I39" s="13" t="s">
        <v>144</v>
      </c>
      <c r="J39" s="15" t="s">
        <v>87</v>
      </c>
      <c r="K39" s="18">
        <v>21999</v>
      </c>
      <c r="L39" s="19" t="s">
        <v>13</v>
      </c>
      <c r="M39" s="12" t="str" cm="1">
        <f t="array" ref="M39">_xlfn.IFS(P39&lt;=O39,"في الموعد",P39&gt;=O39," متأخر")</f>
        <v xml:space="preserve"> متأخر</v>
      </c>
      <c r="N39" s="21">
        <v>45548</v>
      </c>
      <c r="O39" s="21">
        <v>45565</v>
      </c>
      <c r="P39" s="21">
        <v>45586</v>
      </c>
      <c r="Q39" s="13" t="s">
        <v>167</v>
      </c>
      <c r="R39" s="12" t="s">
        <v>166</v>
      </c>
    </row>
    <row r="40" spans="1:18" ht="20.100000000000001" customHeight="1" x14ac:dyDescent="0.25">
      <c r="A40" s="13" t="s">
        <v>92</v>
      </c>
      <c r="B40" s="13" t="s">
        <v>238</v>
      </c>
      <c r="C40" s="13" t="s">
        <v>240</v>
      </c>
      <c r="D40" s="12" t="s">
        <v>6</v>
      </c>
      <c r="E40" s="12" t="s">
        <v>130</v>
      </c>
      <c r="F40" s="13" t="s">
        <v>142</v>
      </c>
      <c r="G40" s="13" t="s">
        <v>135</v>
      </c>
      <c r="H40" s="13">
        <v>80</v>
      </c>
      <c r="I40" s="12" t="s">
        <v>143</v>
      </c>
      <c r="J40" s="15" t="s">
        <v>75</v>
      </c>
      <c r="K40" s="18">
        <v>10999</v>
      </c>
      <c r="L40" s="19" t="s">
        <v>13</v>
      </c>
      <c r="M40" s="12" t="str" cm="1">
        <f t="array" ref="M40">_xlfn.IFS(P40&lt;=O40,"في الموعد",P40&gt;=O40," متأخر")</f>
        <v xml:space="preserve"> متأخر</v>
      </c>
      <c r="N40" s="21">
        <v>45548</v>
      </c>
      <c r="O40" s="21">
        <v>45565</v>
      </c>
      <c r="P40" s="21">
        <v>45580</v>
      </c>
      <c r="Q40" s="13" t="s">
        <v>167</v>
      </c>
      <c r="R40" s="12" t="s">
        <v>166</v>
      </c>
    </row>
    <row r="41" spans="1:18" ht="20.100000000000001" customHeight="1" x14ac:dyDescent="0.25">
      <c r="A41" s="13" t="s">
        <v>93</v>
      </c>
      <c r="B41" s="13" t="s">
        <v>238</v>
      </c>
      <c r="C41" s="13" t="s">
        <v>91</v>
      </c>
      <c r="D41" s="12" t="s">
        <v>6</v>
      </c>
      <c r="E41" s="12" t="s">
        <v>130</v>
      </c>
      <c r="F41" s="13" t="s">
        <v>147</v>
      </c>
      <c r="G41" s="13" t="s">
        <v>135</v>
      </c>
      <c r="H41" s="13">
        <v>90</v>
      </c>
      <c r="I41" s="13" t="s">
        <v>144</v>
      </c>
      <c r="J41" s="15" t="s">
        <v>94</v>
      </c>
      <c r="K41" s="18">
        <v>17249</v>
      </c>
      <c r="L41" s="19" t="s">
        <v>13</v>
      </c>
      <c r="M41" s="12" t="str" cm="1">
        <f t="array" ref="M41">_xlfn.IFS(P41&lt;=O41,"في الموعد",P41&gt;=O41," متأخر")</f>
        <v xml:space="preserve"> متأخر</v>
      </c>
      <c r="N41" s="21">
        <v>45548</v>
      </c>
      <c r="O41" s="21">
        <v>45565</v>
      </c>
      <c r="P41" s="21">
        <v>45569</v>
      </c>
      <c r="Q41" s="13" t="s">
        <v>167</v>
      </c>
      <c r="R41" s="12" t="s">
        <v>166</v>
      </c>
    </row>
    <row r="42" spans="1:18" ht="20.100000000000001" customHeight="1" x14ac:dyDescent="0.25">
      <c r="A42" s="13" t="s">
        <v>119</v>
      </c>
      <c r="B42" s="12" t="s">
        <v>239</v>
      </c>
      <c r="C42" s="13" t="s">
        <v>120</v>
      </c>
      <c r="D42" s="12" t="s">
        <v>6</v>
      </c>
      <c r="E42" s="13" t="s">
        <v>137</v>
      </c>
      <c r="F42" s="13" t="s">
        <v>160</v>
      </c>
      <c r="G42" s="13"/>
      <c r="H42" s="13"/>
      <c r="I42" s="13"/>
      <c r="J42" s="15" t="s">
        <v>121</v>
      </c>
      <c r="K42" s="18">
        <v>8349</v>
      </c>
      <c r="L42" s="19" t="s">
        <v>13</v>
      </c>
      <c r="M42" s="12" t="str" cm="1">
        <f t="array" ref="M42">_xlfn.IFS(P42&lt;=O42,"في الموعد",P42&gt;=O42," متأخر")</f>
        <v xml:space="preserve"> متأخر</v>
      </c>
      <c r="N42" s="21">
        <v>45549</v>
      </c>
      <c r="O42" s="21">
        <v>45581</v>
      </c>
      <c r="P42" s="21">
        <v>45586</v>
      </c>
      <c r="Q42" s="13" t="s">
        <v>167</v>
      </c>
      <c r="R42" s="12" t="s">
        <v>166</v>
      </c>
    </row>
    <row r="43" spans="1:18" ht="20.100000000000001" customHeight="1" x14ac:dyDescent="0.25">
      <c r="A43" s="13" t="s">
        <v>100</v>
      </c>
      <c r="B43" s="13" t="s">
        <v>238</v>
      </c>
      <c r="C43" s="13" t="s">
        <v>48</v>
      </c>
      <c r="D43" s="12" t="s">
        <v>6</v>
      </c>
      <c r="E43" s="13" t="s">
        <v>137</v>
      </c>
      <c r="F43" s="13" t="s">
        <v>242</v>
      </c>
      <c r="G43" s="13"/>
      <c r="H43" s="13"/>
      <c r="I43" s="13"/>
      <c r="J43" s="15" t="s">
        <v>21</v>
      </c>
      <c r="K43" s="18">
        <v>7849</v>
      </c>
      <c r="L43" s="19" t="s">
        <v>13</v>
      </c>
      <c r="M43" s="12" t="str" cm="1">
        <f t="array" ref="M43">_xlfn.IFS(P43&lt;=O43,"في الموعد",P43&gt;=O43," متأخر")</f>
        <v xml:space="preserve"> متأخر</v>
      </c>
      <c r="N43" s="21">
        <v>45549</v>
      </c>
      <c r="O43" s="21">
        <v>45594</v>
      </c>
      <c r="P43" s="21">
        <v>45595</v>
      </c>
      <c r="Q43" s="13" t="s">
        <v>167</v>
      </c>
      <c r="R43" s="12" t="s">
        <v>166</v>
      </c>
    </row>
    <row r="44" spans="1:18" ht="20.100000000000001" customHeight="1" x14ac:dyDescent="0.25">
      <c r="A44" s="13" t="s">
        <v>101</v>
      </c>
      <c r="B44" s="13" t="s">
        <v>238</v>
      </c>
      <c r="C44" s="13" t="s">
        <v>240</v>
      </c>
      <c r="D44" s="12" t="s">
        <v>6</v>
      </c>
      <c r="E44" s="12" t="s">
        <v>130</v>
      </c>
      <c r="F44" s="12" t="s">
        <v>131</v>
      </c>
      <c r="G44" s="13"/>
      <c r="H44" s="13"/>
      <c r="I44" s="13" t="s">
        <v>144</v>
      </c>
      <c r="J44" s="15" t="s">
        <v>102</v>
      </c>
      <c r="K44" s="18">
        <v>9399</v>
      </c>
      <c r="L44" s="19" t="s">
        <v>98</v>
      </c>
      <c r="M44" s="12" t="str" cm="1">
        <f t="array" ref="M44">_xlfn.IFS(P44&lt;=O44,"في الموعد",P44&gt;=O44," متأخر")</f>
        <v>في الموعد</v>
      </c>
      <c r="N44" s="21">
        <v>45549</v>
      </c>
      <c r="O44" s="21">
        <v>45594</v>
      </c>
      <c r="P44" s="21">
        <v>45580</v>
      </c>
      <c r="Q44" s="13" t="s">
        <v>167</v>
      </c>
      <c r="R44" s="12" t="s">
        <v>166</v>
      </c>
    </row>
    <row r="45" spans="1:18" ht="20.100000000000001" customHeight="1" x14ac:dyDescent="0.25">
      <c r="A45" s="13" t="s">
        <v>103</v>
      </c>
      <c r="B45" s="13" t="s">
        <v>238</v>
      </c>
      <c r="C45" s="13" t="s">
        <v>104</v>
      </c>
      <c r="D45" s="12" t="s">
        <v>6</v>
      </c>
      <c r="E45" s="12" t="s">
        <v>130</v>
      </c>
      <c r="F45" s="13" t="s">
        <v>133</v>
      </c>
      <c r="G45" s="13" t="s">
        <v>136</v>
      </c>
      <c r="H45" s="13">
        <v>140</v>
      </c>
      <c r="I45" s="13" t="s">
        <v>144</v>
      </c>
      <c r="J45" s="15" t="s">
        <v>105</v>
      </c>
      <c r="K45" s="18">
        <v>11817</v>
      </c>
      <c r="L45" s="19" t="s">
        <v>98</v>
      </c>
      <c r="M45" s="12" t="str" cm="1">
        <f t="array" ref="M45">_xlfn.IFS(P45&lt;=O45,"في الموعد",P45&gt;=O45," متأخر")</f>
        <v>في الموعد</v>
      </c>
      <c r="N45" s="21">
        <v>45549</v>
      </c>
      <c r="O45" s="21">
        <v>45594</v>
      </c>
      <c r="P45" s="21">
        <v>45580</v>
      </c>
      <c r="Q45" s="13" t="s">
        <v>167</v>
      </c>
      <c r="R45" s="12" t="s">
        <v>166</v>
      </c>
    </row>
    <row r="46" spans="1:18" ht="20.100000000000001" customHeight="1" x14ac:dyDescent="0.25">
      <c r="A46" s="13" t="s">
        <v>106</v>
      </c>
      <c r="B46" s="13" t="s">
        <v>239</v>
      </c>
      <c r="C46" s="13" t="s">
        <v>73</v>
      </c>
      <c r="D46" s="12" t="s">
        <v>6</v>
      </c>
      <c r="E46" s="13" t="s">
        <v>137</v>
      </c>
      <c r="F46" s="13" t="s">
        <v>161</v>
      </c>
      <c r="G46" s="13"/>
      <c r="H46" s="13"/>
      <c r="I46" s="13"/>
      <c r="J46" s="15" t="s">
        <v>107</v>
      </c>
      <c r="K46" s="18">
        <v>8349</v>
      </c>
      <c r="L46" s="19" t="s">
        <v>98</v>
      </c>
      <c r="M46" s="12" t="str" cm="1">
        <f t="array" ref="M46">_xlfn.IFS(P46&lt;=O46,"في الموعد",P46&gt;=O46," متأخر")</f>
        <v>في الموعد</v>
      </c>
      <c r="N46" s="21">
        <v>45549</v>
      </c>
      <c r="O46" s="21">
        <v>45594</v>
      </c>
      <c r="P46" s="21">
        <v>45584</v>
      </c>
      <c r="Q46" s="13" t="s">
        <v>167</v>
      </c>
      <c r="R46" s="12" t="s">
        <v>166</v>
      </c>
    </row>
    <row r="47" spans="1:18" ht="20.100000000000001" customHeight="1" x14ac:dyDescent="0.25">
      <c r="A47" s="13" t="s">
        <v>110</v>
      </c>
      <c r="B47" s="13" t="s">
        <v>238</v>
      </c>
      <c r="C47" s="13" t="s">
        <v>53</v>
      </c>
      <c r="D47" s="12" t="s">
        <v>6</v>
      </c>
      <c r="E47" s="12" t="s">
        <v>130</v>
      </c>
      <c r="F47" s="13" t="s">
        <v>133</v>
      </c>
      <c r="G47" s="13" t="s">
        <v>153</v>
      </c>
      <c r="H47" s="13">
        <v>120</v>
      </c>
      <c r="I47" s="12" t="s">
        <v>143</v>
      </c>
      <c r="J47" s="15" t="s">
        <v>111</v>
      </c>
      <c r="K47" s="18">
        <v>17886</v>
      </c>
      <c r="L47" s="19" t="s">
        <v>98</v>
      </c>
      <c r="M47" s="12" t="str" cm="1">
        <f t="array" ref="M47">_xlfn.IFS(P47&lt;=O47,"في الموعد",P47&gt;=O47," متأخر")</f>
        <v>في الموعد</v>
      </c>
      <c r="N47" s="21">
        <v>45549</v>
      </c>
      <c r="O47" s="21">
        <v>45594</v>
      </c>
      <c r="P47" s="21"/>
      <c r="Q47" s="13" t="s">
        <v>267</v>
      </c>
      <c r="R47" s="13" t="s">
        <v>164</v>
      </c>
    </row>
    <row r="48" spans="1:18" ht="20.100000000000001" customHeight="1" x14ac:dyDescent="0.25">
      <c r="A48" s="13" t="s">
        <v>112</v>
      </c>
      <c r="B48" s="13" t="s">
        <v>238</v>
      </c>
      <c r="C48" s="13" t="s">
        <v>53</v>
      </c>
      <c r="D48" s="12" t="s">
        <v>6</v>
      </c>
      <c r="E48" s="12" t="s">
        <v>130</v>
      </c>
      <c r="F48" s="13" t="s">
        <v>133</v>
      </c>
      <c r="G48" s="13" t="s">
        <v>136</v>
      </c>
      <c r="H48" s="13">
        <v>120</v>
      </c>
      <c r="I48" s="12" t="s">
        <v>143</v>
      </c>
      <c r="J48" s="15" t="s">
        <v>113</v>
      </c>
      <c r="K48" s="18">
        <v>10987</v>
      </c>
      <c r="L48" s="19" t="s">
        <v>13</v>
      </c>
      <c r="M48" s="12" t="str" cm="1">
        <f t="array" ref="M48">_xlfn.IFS(P48&lt;=O48,"في الموعد",P48&gt;=O48," متأخر")</f>
        <v>في الموعد</v>
      </c>
      <c r="N48" s="21">
        <v>45549</v>
      </c>
      <c r="O48" s="21">
        <v>45594</v>
      </c>
      <c r="P48" s="21">
        <v>45578</v>
      </c>
      <c r="Q48" s="13" t="s">
        <v>167</v>
      </c>
      <c r="R48" s="12" t="s">
        <v>166</v>
      </c>
    </row>
    <row r="49" spans="1:18" ht="20.100000000000001" customHeight="1" x14ac:dyDescent="0.25">
      <c r="A49" s="13" t="s">
        <v>115</v>
      </c>
      <c r="B49" s="13" t="s">
        <v>238</v>
      </c>
      <c r="C49" s="13" t="s">
        <v>116</v>
      </c>
      <c r="D49" s="12" t="s">
        <v>6</v>
      </c>
      <c r="E49" s="13" t="s">
        <v>137</v>
      </c>
      <c r="F49" s="13" t="s">
        <v>160</v>
      </c>
      <c r="G49" s="13"/>
      <c r="H49" s="13"/>
      <c r="I49" s="13"/>
      <c r="J49" s="15" t="s">
        <v>49</v>
      </c>
      <c r="K49" s="18">
        <v>10319</v>
      </c>
      <c r="L49" s="19" t="s">
        <v>13</v>
      </c>
      <c r="M49" s="12" t="str" cm="1">
        <f t="array" ref="M49">_xlfn.IFS(P49&lt;=O49,"في الموعد",P49&gt;=O49," متأخر")</f>
        <v>في الموعد</v>
      </c>
      <c r="N49" s="21">
        <v>45549</v>
      </c>
      <c r="O49" s="21">
        <v>45594</v>
      </c>
      <c r="P49" s="21">
        <v>45584</v>
      </c>
      <c r="Q49" s="13" t="s">
        <v>167</v>
      </c>
      <c r="R49" s="12" t="s">
        <v>166</v>
      </c>
    </row>
    <row r="50" spans="1:18" ht="20.100000000000001" customHeight="1" x14ac:dyDescent="0.25">
      <c r="A50" s="13" t="s">
        <v>95</v>
      </c>
      <c r="B50" s="13" t="s">
        <v>238</v>
      </c>
      <c r="C50" s="13" t="s">
        <v>96</v>
      </c>
      <c r="D50" s="12" t="s">
        <v>6</v>
      </c>
      <c r="E50" s="12" t="s">
        <v>130</v>
      </c>
      <c r="F50" s="13" t="s">
        <v>142</v>
      </c>
      <c r="G50" s="13" t="s">
        <v>135</v>
      </c>
      <c r="H50" s="13">
        <v>120</v>
      </c>
      <c r="I50" s="13" t="s">
        <v>148</v>
      </c>
      <c r="J50" s="15" t="s">
        <v>97</v>
      </c>
      <c r="K50" s="18">
        <v>12999</v>
      </c>
      <c r="L50" s="19" t="s">
        <v>98</v>
      </c>
      <c r="M50" s="12" t="str" cm="1">
        <f t="array" ref="M50">_xlfn.IFS(P50&lt;=O50,"في الموعد",P50&gt;=O50," متأخر")</f>
        <v>في الموعد</v>
      </c>
      <c r="N50" s="21">
        <v>45549</v>
      </c>
      <c r="O50" s="21">
        <v>45616</v>
      </c>
      <c r="P50" s="21">
        <v>45582</v>
      </c>
      <c r="Q50" s="13" t="s">
        <v>22</v>
      </c>
      <c r="R50" s="12" t="s">
        <v>166</v>
      </c>
    </row>
    <row r="51" spans="1:18" ht="20.100000000000001" customHeight="1" x14ac:dyDescent="0.25">
      <c r="A51" s="13" t="s">
        <v>99</v>
      </c>
      <c r="B51" s="12" t="s">
        <v>238</v>
      </c>
      <c r="C51" s="13" t="s">
        <v>20</v>
      </c>
      <c r="D51" s="12" t="s">
        <v>6</v>
      </c>
      <c r="E51" s="13" t="s">
        <v>170</v>
      </c>
      <c r="F51" s="13" t="s">
        <v>171</v>
      </c>
      <c r="G51" s="13"/>
      <c r="H51" s="13"/>
      <c r="I51" s="13" t="s">
        <v>144</v>
      </c>
      <c r="J51" s="15" t="s">
        <v>87</v>
      </c>
      <c r="K51" s="18">
        <v>21999</v>
      </c>
      <c r="L51" s="19" t="s">
        <v>13</v>
      </c>
      <c r="M51" s="12" t="str" cm="1">
        <f t="array" ref="M51">_xlfn.IFS(P51&lt;=O51,"في الموعد",P51&gt;=O51," متأخر")</f>
        <v>في الموعد</v>
      </c>
      <c r="N51" s="21">
        <v>45549</v>
      </c>
      <c r="O51" s="21">
        <v>45616</v>
      </c>
      <c r="P51" s="21"/>
      <c r="Q51" s="13" t="s">
        <v>267</v>
      </c>
      <c r="R51" s="13" t="s">
        <v>164</v>
      </c>
    </row>
    <row r="52" spans="1:18" ht="20.100000000000001" customHeight="1" x14ac:dyDescent="0.25">
      <c r="A52" s="13" t="s">
        <v>108</v>
      </c>
      <c r="B52" s="12" t="s">
        <v>238</v>
      </c>
      <c r="C52" s="13" t="s">
        <v>73</v>
      </c>
      <c r="D52" s="12" t="s">
        <v>6</v>
      </c>
      <c r="E52" s="12" t="s">
        <v>130</v>
      </c>
      <c r="F52" s="13" t="s">
        <v>142</v>
      </c>
      <c r="G52" s="13" t="s">
        <v>132</v>
      </c>
      <c r="H52" s="13">
        <v>100</v>
      </c>
      <c r="I52" s="13" t="s">
        <v>148</v>
      </c>
      <c r="J52" s="15" t="s">
        <v>109</v>
      </c>
      <c r="K52" s="18">
        <v>12399</v>
      </c>
      <c r="L52" s="19" t="s">
        <v>13</v>
      </c>
      <c r="M52" s="12" t="str" cm="1">
        <f t="array" ref="M52">_xlfn.IFS(P52&lt;=O52,"في الموعد",P52&gt;=O52," متأخر")</f>
        <v>في الموعد</v>
      </c>
      <c r="N52" s="21">
        <v>45549</v>
      </c>
      <c r="O52" s="21">
        <v>45616</v>
      </c>
      <c r="P52" s="21">
        <v>45566</v>
      </c>
      <c r="Q52" s="13" t="s">
        <v>22</v>
      </c>
      <c r="R52" s="12" t="s">
        <v>166</v>
      </c>
    </row>
    <row r="53" spans="1:18" ht="20.100000000000001" customHeight="1" x14ac:dyDescent="0.25">
      <c r="A53" s="13" t="s">
        <v>114</v>
      </c>
      <c r="B53" s="12" t="s">
        <v>238</v>
      </c>
      <c r="C53" s="13" t="s">
        <v>53</v>
      </c>
      <c r="D53" s="12" t="s">
        <v>6</v>
      </c>
      <c r="E53" s="13" t="s">
        <v>170</v>
      </c>
      <c r="F53" s="13" t="s">
        <v>171</v>
      </c>
      <c r="G53" s="13"/>
      <c r="H53" s="13"/>
      <c r="I53" s="13" t="s">
        <v>144</v>
      </c>
      <c r="J53" s="15" t="s">
        <v>87</v>
      </c>
      <c r="K53" s="18">
        <v>21999</v>
      </c>
      <c r="L53" s="19" t="s">
        <v>13</v>
      </c>
      <c r="M53" s="12" t="str" cm="1">
        <f t="array" ref="M53">_xlfn.IFS(P53&lt;=O53,"في الموعد",P53&gt;=O53," متأخر")</f>
        <v>في الموعد</v>
      </c>
      <c r="N53" s="21">
        <v>45549</v>
      </c>
      <c r="O53" s="21">
        <v>45616</v>
      </c>
      <c r="P53" s="21">
        <v>45574</v>
      </c>
      <c r="Q53" s="13" t="s">
        <v>167</v>
      </c>
      <c r="R53" s="12" t="s">
        <v>166</v>
      </c>
    </row>
    <row r="54" spans="1:18" ht="20.100000000000001" customHeight="1" x14ac:dyDescent="0.25">
      <c r="A54" s="13" t="s">
        <v>117</v>
      </c>
      <c r="B54" s="13" t="s">
        <v>238</v>
      </c>
      <c r="C54" s="13" t="s">
        <v>48</v>
      </c>
      <c r="D54" s="12" t="s">
        <v>6</v>
      </c>
      <c r="E54" s="12" t="s">
        <v>130</v>
      </c>
      <c r="F54" s="13" t="s">
        <v>142</v>
      </c>
      <c r="G54" s="13" t="s">
        <v>132</v>
      </c>
      <c r="H54" s="13">
        <v>80</v>
      </c>
      <c r="I54" s="12" t="s">
        <v>143</v>
      </c>
      <c r="J54" s="15" t="s">
        <v>118</v>
      </c>
      <c r="K54" s="18">
        <v>10999</v>
      </c>
      <c r="L54" s="19" t="s">
        <v>98</v>
      </c>
      <c r="M54" s="12" t="str" cm="1">
        <f t="array" ref="M54">_xlfn.IFS(P54&lt;=O54,"في الموعد",P54&gt;=O54," متأخر")</f>
        <v>في الموعد</v>
      </c>
      <c r="N54" s="21">
        <v>45549</v>
      </c>
      <c r="O54" s="21">
        <v>45616</v>
      </c>
      <c r="P54" s="21">
        <v>45581</v>
      </c>
      <c r="Q54" s="13" t="s">
        <v>167</v>
      </c>
      <c r="R54" s="12" t="s">
        <v>166</v>
      </c>
    </row>
    <row r="55" spans="1:18" ht="20.100000000000001" customHeight="1" x14ac:dyDescent="0.25">
      <c r="A55" s="14" t="s">
        <v>156</v>
      </c>
      <c r="B55" s="14" t="s">
        <v>238</v>
      </c>
      <c r="C55" s="14" t="s">
        <v>157</v>
      </c>
      <c r="D55" s="12" t="s">
        <v>6</v>
      </c>
      <c r="E55" s="12" t="s">
        <v>130</v>
      </c>
      <c r="F55" s="13" t="s">
        <v>142</v>
      </c>
      <c r="G55" s="13" t="s">
        <v>135</v>
      </c>
      <c r="H55" s="13">
        <v>80</v>
      </c>
      <c r="I55" s="12" t="s">
        <v>143</v>
      </c>
      <c r="J55" s="15"/>
      <c r="K55" s="18">
        <v>10999</v>
      </c>
      <c r="L55" s="19" t="s">
        <v>98</v>
      </c>
      <c r="M55" s="12" t="str" cm="1">
        <f t="array" ref="M55">_xlfn.IFS(P55&lt;=O55,"في الموعد",P55&gt;=O55," متأخر")</f>
        <v>في الموعد</v>
      </c>
      <c r="N55" s="21">
        <v>45550</v>
      </c>
      <c r="O55" s="21">
        <v>45616</v>
      </c>
      <c r="P55" s="21">
        <v>45581</v>
      </c>
      <c r="Q55" s="13" t="s">
        <v>167</v>
      </c>
      <c r="R55" s="12" t="s">
        <v>166</v>
      </c>
    </row>
    <row r="56" spans="1:18" ht="20.100000000000001" customHeight="1" x14ac:dyDescent="0.25">
      <c r="A56" s="14" t="s">
        <v>158</v>
      </c>
      <c r="B56" s="14" t="s">
        <v>238</v>
      </c>
      <c r="C56" s="14" t="s">
        <v>159</v>
      </c>
      <c r="D56" s="12" t="s">
        <v>6</v>
      </c>
      <c r="E56" s="13" t="s">
        <v>170</v>
      </c>
      <c r="F56" s="13" t="s">
        <v>171</v>
      </c>
      <c r="G56" s="13"/>
      <c r="H56" s="13"/>
      <c r="I56" s="13" t="s">
        <v>144</v>
      </c>
      <c r="J56" s="15"/>
      <c r="K56" s="18">
        <v>21999</v>
      </c>
      <c r="L56" s="19" t="s">
        <v>98</v>
      </c>
      <c r="M56" s="12" t="str" cm="1">
        <f t="array" ref="M56">_xlfn.IFS(P56&lt;=O56,"في الموعد",P56&gt;=O56," متأخر")</f>
        <v>في الموعد</v>
      </c>
      <c r="N56" s="21">
        <v>45550</v>
      </c>
      <c r="O56" s="21">
        <v>45616</v>
      </c>
      <c r="P56" s="21">
        <v>45584</v>
      </c>
      <c r="Q56" s="13" t="s">
        <v>167</v>
      </c>
      <c r="R56" s="12" t="s">
        <v>166</v>
      </c>
    </row>
    <row r="57" spans="1:18" ht="20.100000000000001" customHeight="1" x14ac:dyDescent="0.25">
      <c r="A57" s="12" t="s">
        <v>165</v>
      </c>
      <c r="B57" s="12" t="s">
        <v>238</v>
      </c>
      <c r="C57" s="12" t="s">
        <v>125</v>
      </c>
      <c r="D57" s="12" t="s">
        <v>6</v>
      </c>
      <c r="E57" s="13" t="s">
        <v>137</v>
      </c>
      <c r="F57" s="13" t="s">
        <v>160</v>
      </c>
      <c r="G57" s="12"/>
      <c r="H57" s="12"/>
      <c r="I57" s="12"/>
      <c r="J57" s="13"/>
      <c r="K57" s="19">
        <v>7849</v>
      </c>
      <c r="L57" s="19" t="s">
        <v>266</v>
      </c>
      <c r="M57" s="12" t="str" cm="1">
        <f t="array" ref="M57">_xlfn.IFS(P57&lt;=O57,"في الموعد",P57&gt;=O57," متأخر")</f>
        <v xml:space="preserve"> متأخر</v>
      </c>
      <c r="N57" s="21">
        <v>45551</v>
      </c>
      <c r="O57" s="21">
        <v>45595</v>
      </c>
      <c r="P57" s="20">
        <v>45610</v>
      </c>
      <c r="Q57" s="13" t="s">
        <v>22</v>
      </c>
      <c r="R57" s="12" t="s">
        <v>166</v>
      </c>
    </row>
    <row r="58" spans="1:18" ht="20.100000000000001" customHeight="1" x14ac:dyDescent="0.25">
      <c r="A58" s="13" t="s">
        <v>25</v>
      </c>
      <c r="B58" s="13" t="s">
        <v>239</v>
      </c>
      <c r="C58" s="13" t="s">
        <v>179</v>
      </c>
      <c r="D58" s="13" t="s">
        <v>25</v>
      </c>
      <c r="E58" s="12" t="s">
        <v>130</v>
      </c>
      <c r="F58" s="13" t="s">
        <v>142</v>
      </c>
      <c r="G58" s="13" t="s">
        <v>134</v>
      </c>
      <c r="H58" s="13">
        <v>100</v>
      </c>
      <c r="I58" s="12" t="s">
        <v>144</v>
      </c>
      <c r="J58" s="13" t="s">
        <v>40</v>
      </c>
      <c r="K58" s="18">
        <v>9208</v>
      </c>
      <c r="L58" s="19" t="s">
        <v>266</v>
      </c>
      <c r="M58" s="19" t="str" cm="1">
        <f t="array" ref="M58">_xlfn.IFS(P58&lt;=O58,"في الموعد",P58&gt;=O58," متأخر")</f>
        <v xml:space="preserve"> متأخر</v>
      </c>
      <c r="N58" s="21">
        <v>45536</v>
      </c>
      <c r="O58" s="21">
        <v>45554</v>
      </c>
      <c r="P58" s="21">
        <v>45556</v>
      </c>
      <c r="Q58" s="13" t="s">
        <v>167</v>
      </c>
      <c r="R58" s="12" t="s">
        <v>166</v>
      </c>
    </row>
    <row r="59" spans="1:18" ht="20.100000000000001" customHeight="1" x14ac:dyDescent="0.25">
      <c r="A59" s="13" t="s">
        <v>25</v>
      </c>
      <c r="B59" s="13" t="s">
        <v>239</v>
      </c>
      <c r="C59" s="13" t="s">
        <v>179</v>
      </c>
      <c r="D59" s="13" t="s">
        <v>25</v>
      </c>
      <c r="E59" s="12" t="s">
        <v>130</v>
      </c>
      <c r="F59" s="13" t="s">
        <v>142</v>
      </c>
      <c r="G59" s="13" t="s">
        <v>134</v>
      </c>
      <c r="H59" s="13">
        <v>100</v>
      </c>
      <c r="I59" s="13" t="s">
        <v>144</v>
      </c>
      <c r="J59" s="13"/>
      <c r="K59" s="18">
        <v>9208</v>
      </c>
      <c r="L59" s="19" t="s">
        <v>266</v>
      </c>
      <c r="M59" s="12" t="str" cm="1">
        <f t="array" ref="M59">_xlfn.IFS(P59&lt;=O59,"في الموعد",P59&gt;=O59," متأخر")</f>
        <v>في الموعد</v>
      </c>
      <c r="N59" s="21">
        <v>45561</v>
      </c>
      <c r="O59" s="21">
        <v>45579</v>
      </c>
      <c r="P59" s="21"/>
      <c r="Q59" s="13" t="s">
        <v>267</v>
      </c>
      <c r="R59" s="12" t="s">
        <v>164</v>
      </c>
    </row>
    <row r="60" spans="1:18" ht="20.100000000000001" customHeight="1" x14ac:dyDescent="0.25">
      <c r="A60" s="13" t="s">
        <v>169</v>
      </c>
      <c r="B60" s="13" t="s">
        <v>238</v>
      </c>
      <c r="C60" s="13" t="s">
        <v>32</v>
      </c>
      <c r="D60" s="12" t="s">
        <v>6</v>
      </c>
      <c r="E60" s="12" t="s">
        <v>130</v>
      </c>
      <c r="F60" s="13" t="s">
        <v>133</v>
      </c>
      <c r="G60" s="13" t="s">
        <v>153</v>
      </c>
      <c r="H60" s="13">
        <v>120</v>
      </c>
      <c r="I60" s="12" t="s">
        <v>143</v>
      </c>
      <c r="J60" s="13"/>
      <c r="K60" s="18">
        <v>8943</v>
      </c>
      <c r="L60" s="19" t="s">
        <v>266</v>
      </c>
      <c r="M60" s="12" t="str" cm="1">
        <f t="array" ref="M60">_xlfn.IFS(P60&lt;=O60,"في الموعد",P60&gt;=O60," متأخر")</f>
        <v>في الموعد</v>
      </c>
      <c r="N60" s="21">
        <v>45561</v>
      </c>
      <c r="O60" s="21">
        <v>45606</v>
      </c>
      <c r="P60" s="21">
        <v>45575</v>
      </c>
      <c r="Q60" s="13" t="s">
        <v>167</v>
      </c>
      <c r="R60" s="12" t="s">
        <v>166</v>
      </c>
    </row>
    <row r="61" spans="1:18" ht="20.100000000000001" customHeight="1" x14ac:dyDescent="0.25">
      <c r="A61" s="13" t="s">
        <v>25</v>
      </c>
      <c r="B61" s="13" t="s">
        <v>239</v>
      </c>
      <c r="C61" s="13" t="s">
        <v>182</v>
      </c>
      <c r="D61" s="13" t="s">
        <v>25</v>
      </c>
      <c r="E61" s="13" t="s">
        <v>170</v>
      </c>
      <c r="F61" s="13" t="s">
        <v>171</v>
      </c>
      <c r="G61" s="13"/>
      <c r="H61" s="13"/>
      <c r="I61" s="13"/>
      <c r="J61" s="13"/>
      <c r="K61" s="18">
        <v>14950</v>
      </c>
      <c r="L61" s="19" t="s">
        <v>13</v>
      </c>
      <c r="M61" s="12" t="str" cm="1">
        <f t="array" ref="M61">_xlfn.IFS(P61&lt;=O61,"في الموعد",P61&gt;=O61," متأخر")</f>
        <v>في الموعد</v>
      </c>
      <c r="N61" s="21">
        <v>45561</v>
      </c>
      <c r="O61" s="21">
        <v>45579</v>
      </c>
      <c r="P61" s="21">
        <v>45578</v>
      </c>
      <c r="Q61" s="13" t="s">
        <v>167</v>
      </c>
      <c r="R61" s="12" t="s">
        <v>166</v>
      </c>
    </row>
    <row r="62" spans="1:18" ht="20.100000000000001" customHeight="1" x14ac:dyDescent="0.25">
      <c r="A62" s="13" t="s">
        <v>172</v>
      </c>
      <c r="B62" s="13" t="s">
        <v>239</v>
      </c>
      <c r="C62" s="13" t="s">
        <v>173</v>
      </c>
      <c r="D62" s="13" t="s">
        <v>174</v>
      </c>
      <c r="E62" s="12" t="s">
        <v>130</v>
      </c>
      <c r="F62" s="13" t="s">
        <v>142</v>
      </c>
      <c r="G62" s="13" t="s">
        <v>175</v>
      </c>
      <c r="H62" s="13">
        <v>100</v>
      </c>
      <c r="I62" s="13" t="s">
        <v>176</v>
      </c>
      <c r="J62" s="13"/>
      <c r="K62" s="18">
        <v>8544</v>
      </c>
      <c r="L62" s="19" t="s">
        <v>266</v>
      </c>
      <c r="M62" s="12" t="str" cm="1">
        <f t="array" ref="M62">_xlfn.IFS(P62&lt;=O62,"في الموعد",P62&gt;=O62," متأخر")</f>
        <v>في الموعد</v>
      </c>
      <c r="N62" s="21">
        <v>45566</v>
      </c>
      <c r="O62" s="21">
        <v>45574</v>
      </c>
      <c r="P62" s="21">
        <v>45574</v>
      </c>
      <c r="Q62" s="13" t="s">
        <v>180</v>
      </c>
      <c r="R62" s="13" t="s">
        <v>166</v>
      </c>
    </row>
    <row r="63" spans="1:18" ht="20.100000000000001" customHeight="1" x14ac:dyDescent="0.25">
      <c r="A63" s="13" t="s">
        <v>68</v>
      </c>
      <c r="B63" s="13" t="s">
        <v>239</v>
      </c>
      <c r="C63" s="13" t="s">
        <v>192</v>
      </c>
      <c r="D63" s="13" t="s">
        <v>42</v>
      </c>
      <c r="E63" s="12" t="s">
        <v>130</v>
      </c>
      <c r="F63" s="13" t="s">
        <v>142</v>
      </c>
      <c r="G63" s="13" t="s">
        <v>175</v>
      </c>
      <c r="H63" s="13">
        <v>100</v>
      </c>
      <c r="I63" s="12" t="s">
        <v>191</v>
      </c>
      <c r="J63" s="13"/>
      <c r="K63" s="18">
        <v>8544</v>
      </c>
      <c r="L63" s="19" t="s">
        <v>70</v>
      </c>
      <c r="M63" s="12" t="str" cm="1">
        <f t="array" ref="M63">_xlfn.IFS(P63&lt;=O63,"في الموعد",P63&gt;=O63," متأخر")</f>
        <v>في الموعد</v>
      </c>
      <c r="N63" s="21">
        <v>45587</v>
      </c>
      <c r="O63" s="21">
        <v>45618</v>
      </c>
      <c r="P63" s="21"/>
      <c r="Q63" s="13" t="s">
        <v>267</v>
      </c>
      <c r="R63" s="12" t="s">
        <v>202</v>
      </c>
    </row>
    <row r="64" spans="1:18" ht="20.100000000000001" customHeight="1" x14ac:dyDescent="0.25">
      <c r="A64" s="13" t="s">
        <v>25</v>
      </c>
      <c r="B64" s="13" t="s">
        <v>239</v>
      </c>
      <c r="C64" s="13" t="s">
        <v>179</v>
      </c>
      <c r="D64" s="13" t="s">
        <v>25</v>
      </c>
      <c r="E64" s="12" t="s">
        <v>130</v>
      </c>
      <c r="F64" s="13" t="s">
        <v>133</v>
      </c>
      <c r="G64" s="13" t="s">
        <v>136</v>
      </c>
      <c r="H64" s="13">
        <v>120</v>
      </c>
      <c r="I64" s="12" t="s">
        <v>143</v>
      </c>
      <c r="J64" s="13"/>
      <c r="K64" s="18">
        <v>7433</v>
      </c>
      <c r="L64" s="19" t="s">
        <v>13</v>
      </c>
      <c r="M64" s="12" t="str" cm="1">
        <f t="array" ref="M64">_xlfn.IFS(P64&lt;=O64,"في الموعد",P64&gt;=O64," متأخر")</f>
        <v xml:space="preserve"> متأخر</v>
      </c>
      <c r="N64" s="21">
        <v>45564</v>
      </c>
      <c r="O64" s="21">
        <v>45585</v>
      </c>
      <c r="P64" s="21">
        <v>45586</v>
      </c>
      <c r="Q64" s="13" t="s">
        <v>167</v>
      </c>
      <c r="R64" s="12" t="s">
        <v>166</v>
      </c>
    </row>
    <row r="65" spans="1:18" ht="20.100000000000001" customHeight="1" x14ac:dyDescent="0.25">
      <c r="A65" s="13" t="s">
        <v>29</v>
      </c>
      <c r="B65" s="13" t="s">
        <v>239</v>
      </c>
      <c r="C65" s="13" t="s">
        <v>240</v>
      </c>
      <c r="D65" s="13" t="s">
        <v>6</v>
      </c>
      <c r="E65" s="12" t="s">
        <v>130</v>
      </c>
      <c r="F65" s="13" t="s">
        <v>133</v>
      </c>
      <c r="G65" s="13" t="s">
        <v>153</v>
      </c>
      <c r="H65" s="13"/>
      <c r="I65" s="13" t="s">
        <v>143</v>
      </c>
      <c r="J65" s="13" t="s">
        <v>30</v>
      </c>
      <c r="K65" s="18">
        <v>7228</v>
      </c>
      <c r="L65" s="18" t="s">
        <v>13</v>
      </c>
      <c r="M65" s="12" t="str" cm="1">
        <f t="array" ref="M65">_xlfn.IFS(P65&lt;=O65,"في الموعد",P65&gt;=O65," متأخر")</f>
        <v xml:space="preserve"> متأخر</v>
      </c>
      <c r="N65" s="21">
        <v>45529</v>
      </c>
      <c r="O65" s="21">
        <v>45538</v>
      </c>
      <c r="P65" s="21">
        <v>45545</v>
      </c>
      <c r="Q65" s="13" t="s">
        <v>22</v>
      </c>
      <c r="R65" s="12" t="s">
        <v>166</v>
      </c>
    </row>
    <row r="66" spans="1:18" ht="20.100000000000001" customHeight="1" x14ac:dyDescent="0.25">
      <c r="A66" s="13" t="s">
        <v>68</v>
      </c>
      <c r="B66" s="13" t="s">
        <v>239</v>
      </c>
      <c r="C66" s="13" t="s">
        <v>168</v>
      </c>
      <c r="D66" s="13" t="s">
        <v>42</v>
      </c>
      <c r="E66" s="12" t="s">
        <v>130</v>
      </c>
      <c r="F66" s="12" t="s">
        <v>142</v>
      </c>
      <c r="G66" s="13" t="s">
        <v>132</v>
      </c>
      <c r="H66" s="13">
        <v>120</v>
      </c>
      <c r="I66" s="13" t="s">
        <v>148</v>
      </c>
      <c r="J66" s="13"/>
      <c r="K66" s="26">
        <v>6376</v>
      </c>
      <c r="L66" s="26" t="s">
        <v>70</v>
      </c>
      <c r="M66" s="12" t="str" cm="1">
        <f t="array" ref="M66">_xlfn.IFS(P66&lt;=O66,"في الموعد",P66&gt;=O66," متأخر")</f>
        <v>في الموعد</v>
      </c>
      <c r="N66" s="21">
        <v>45610</v>
      </c>
      <c r="O66" s="21">
        <v>45623</v>
      </c>
      <c r="P66" s="21">
        <v>45621</v>
      </c>
      <c r="Q66" s="13" t="s">
        <v>167</v>
      </c>
      <c r="R66" s="12" t="s">
        <v>166</v>
      </c>
    </row>
    <row r="67" spans="1:18" ht="20.100000000000001" customHeight="1" x14ac:dyDescent="0.25">
      <c r="A67" s="13" t="s">
        <v>172</v>
      </c>
      <c r="B67" s="13" t="s">
        <v>239</v>
      </c>
      <c r="C67" s="13" t="s">
        <v>173</v>
      </c>
      <c r="D67" s="13" t="s">
        <v>174</v>
      </c>
      <c r="E67" s="13" t="s">
        <v>170</v>
      </c>
      <c r="F67" s="12" t="s">
        <v>141</v>
      </c>
      <c r="G67" s="13"/>
      <c r="H67" s="13"/>
      <c r="I67" s="13" t="s">
        <v>144</v>
      </c>
      <c r="J67" s="13"/>
      <c r="K67" s="18">
        <v>10000</v>
      </c>
      <c r="L67" s="19" t="s">
        <v>266</v>
      </c>
      <c r="M67" s="12" t="str" cm="1">
        <f t="array" ref="M67">_xlfn.IFS(P67&lt;=O67,"في الموعد",P67&gt;=O67," متأخر")</f>
        <v>في الموعد</v>
      </c>
      <c r="N67" s="21">
        <v>45566</v>
      </c>
      <c r="O67" s="21">
        <v>45574</v>
      </c>
      <c r="P67" s="21">
        <v>45574</v>
      </c>
      <c r="Q67" s="13" t="s">
        <v>180</v>
      </c>
      <c r="R67" s="12" t="s">
        <v>166</v>
      </c>
    </row>
    <row r="68" spans="1:18" ht="20.100000000000001" customHeight="1" x14ac:dyDescent="0.25">
      <c r="A68" s="13" t="s">
        <v>172</v>
      </c>
      <c r="B68" s="13" t="s">
        <v>239</v>
      </c>
      <c r="C68" s="13" t="s">
        <v>173</v>
      </c>
      <c r="D68" s="13" t="s">
        <v>174</v>
      </c>
      <c r="E68" s="13" t="s">
        <v>177</v>
      </c>
      <c r="F68" s="13" t="s">
        <v>142</v>
      </c>
      <c r="G68" s="13"/>
      <c r="H68" s="13"/>
      <c r="I68" s="13" t="s">
        <v>144</v>
      </c>
      <c r="J68" s="13"/>
      <c r="K68" s="18">
        <v>10366</v>
      </c>
      <c r="L68" s="19" t="s">
        <v>266</v>
      </c>
      <c r="M68" s="12" t="str" cm="1">
        <f t="array" ref="M68">_xlfn.IFS(P68&lt;=O68,"في الموعد",P68&gt;=O68," متأخر")</f>
        <v>في الموعد</v>
      </c>
      <c r="N68" s="21">
        <v>45566</v>
      </c>
      <c r="O68" s="21">
        <v>45574</v>
      </c>
      <c r="P68" s="21">
        <v>45574</v>
      </c>
      <c r="Q68" s="13" t="s">
        <v>180</v>
      </c>
      <c r="R68" s="12" t="s">
        <v>166</v>
      </c>
    </row>
    <row r="69" spans="1:18" ht="20.100000000000001" customHeight="1" x14ac:dyDescent="0.25">
      <c r="A69" s="13" t="s">
        <v>25</v>
      </c>
      <c r="B69" s="13" t="s">
        <v>239</v>
      </c>
      <c r="C69" s="13" t="s">
        <v>179</v>
      </c>
      <c r="D69" s="13" t="s">
        <v>25</v>
      </c>
      <c r="E69" s="13" t="s">
        <v>170</v>
      </c>
      <c r="F69" s="13" t="s">
        <v>171</v>
      </c>
      <c r="G69" s="13"/>
      <c r="H69" s="13"/>
      <c r="I69" s="13" t="s">
        <v>144</v>
      </c>
      <c r="J69" s="13"/>
      <c r="K69" s="18">
        <v>14550</v>
      </c>
      <c r="L69" s="19" t="s">
        <v>13</v>
      </c>
      <c r="M69" s="12" t="str" cm="1">
        <f t="array" ref="M69">_xlfn.IFS(P69&lt;=O69,"في الموعد",P69&gt;=O69," متأخر")</f>
        <v xml:space="preserve"> متأخر</v>
      </c>
      <c r="N69" s="21">
        <v>45573</v>
      </c>
      <c r="O69" s="21">
        <v>45594</v>
      </c>
      <c r="P69" s="21">
        <v>45595</v>
      </c>
      <c r="Q69" s="13" t="s">
        <v>167</v>
      </c>
      <c r="R69" s="12" t="s">
        <v>166</v>
      </c>
    </row>
    <row r="70" spans="1:18" ht="20.100000000000001" customHeight="1" x14ac:dyDescent="0.25">
      <c r="A70" s="13" t="s">
        <v>25</v>
      </c>
      <c r="B70" s="13" t="s">
        <v>239</v>
      </c>
      <c r="C70" s="13" t="s">
        <v>181</v>
      </c>
      <c r="D70" s="13" t="s">
        <v>25</v>
      </c>
      <c r="E70" s="13" t="s">
        <v>170</v>
      </c>
      <c r="F70" s="13" t="s">
        <v>171</v>
      </c>
      <c r="G70" s="13"/>
      <c r="H70" s="13"/>
      <c r="I70" s="13" t="s">
        <v>144</v>
      </c>
      <c r="J70" s="13"/>
      <c r="K70" s="18">
        <v>14550</v>
      </c>
      <c r="L70" s="19" t="s">
        <v>13</v>
      </c>
      <c r="M70" s="12" t="str" cm="1">
        <f t="array" ref="M70">_xlfn.IFS(P70&lt;=O70,"في الموعد",P70&gt;=O70," متأخر")</f>
        <v>في الموعد</v>
      </c>
      <c r="N70" s="21">
        <v>45572</v>
      </c>
      <c r="O70" s="21">
        <v>45594</v>
      </c>
      <c r="P70" s="21">
        <v>45580</v>
      </c>
      <c r="Q70" s="13" t="s">
        <v>167</v>
      </c>
      <c r="R70" s="12" t="s">
        <v>166</v>
      </c>
    </row>
    <row r="71" spans="1:18" ht="20.100000000000001" customHeight="1" x14ac:dyDescent="0.25">
      <c r="A71" s="13" t="s">
        <v>25</v>
      </c>
      <c r="B71" s="13" t="s">
        <v>239</v>
      </c>
      <c r="C71" s="13" t="s">
        <v>179</v>
      </c>
      <c r="D71" s="13" t="s">
        <v>25</v>
      </c>
      <c r="E71" s="13" t="s">
        <v>170</v>
      </c>
      <c r="F71" s="13" t="s">
        <v>171</v>
      </c>
      <c r="G71" s="13"/>
      <c r="H71" s="13"/>
      <c r="I71" s="13" t="s">
        <v>144</v>
      </c>
      <c r="J71" s="13"/>
      <c r="K71" s="18">
        <v>14550</v>
      </c>
      <c r="L71" s="19">
        <v>11495</v>
      </c>
      <c r="M71" s="12" t="str" cm="1">
        <f t="array" ref="M71">_xlfn.IFS(P71&lt;=O71,"في الموعد",P71&gt;=O71," متأخر")</f>
        <v xml:space="preserve"> متأخر</v>
      </c>
      <c r="N71" s="21">
        <v>45575</v>
      </c>
      <c r="O71" s="21">
        <v>45596</v>
      </c>
      <c r="P71" s="21">
        <v>45598</v>
      </c>
      <c r="Q71" s="13" t="s">
        <v>167</v>
      </c>
      <c r="R71" s="12" t="s">
        <v>166</v>
      </c>
    </row>
    <row r="72" spans="1:18" ht="20.100000000000001" customHeight="1" x14ac:dyDescent="0.25">
      <c r="A72" s="13" t="s">
        <v>31</v>
      </c>
      <c r="B72" s="13" t="s">
        <v>239</v>
      </c>
      <c r="C72" s="13" t="s">
        <v>32</v>
      </c>
      <c r="D72" s="12" t="s">
        <v>33</v>
      </c>
      <c r="E72" s="12" t="s">
        <v>130</v>
      </c>
      <c r="F72" s="13" t="s">
        <v>142</v>
      </c>
      <c r="G72" s="13" t="s">
        <v>134</v>
      </c>
      <c r="H72" s="13">
        <v>100</v>
      </c>
      <c r="I72" s="13" t="s">
        <v>144</v>
      </c>
      <c r="J72" s="13"/>
      <c r="K72" s="18">
        <v>6250</v>
      </c>
      <c r="L72" s="19" t="s">
        <v>70</v>
      </c>
      <c r="M72" s="12" t="str" cm="1">
        <f t="array" ref="M72">_xlfn.IFS(P72&lt;=O72,"في الموعد",P72&gt;=O72," متأخر")</f>
        <v xml:space="preserve"> متأخر</v>
      </c>
      <c r="N72" s="21">
        <v>45558</v>
      </c>
      <c r="O72" s="21">
        <v>45573</v>
      </c>
      <c r="P72" s="21">
        <v>45582</v>
      </c>
      <c r="Q72" s="13" t="s">
        <v>167</v>
      </c>
      <c r="R72" s="12" t="s">
        <v>166</v>
      </c>
    </row>
    <row r="73" spans="1:18" ht="20.100000000000001" customHeight="1" x14ac:dyDescent="0.25">
      <c r="A73" s="13" t="s">
        <v>185</v>
      </c>
      <c r="B73" s="13" t="s">
        <v>238</v>
      </c>
      <c r="C73" s="13" t="s">
        <v>53</v>
      </c>
      <c r="D73" s="12" t="s">
        <v>6</v>
      </c>
      <c r="E73" s="12" t="s">
        <v>130</v>
      </c>
      <c r="F73" s="13" t="s">
        <v>142</v>
      </c>
      <c r="G73" s="13" t="s">
        <v>135</v>
      </c>
      <c r="H73" s="13">
        <v>80</v>
      </c>
      <c r="I73" s="12" t="s">
        <v>143</v>
      </c>
      <c r="J73" s="13"/>
      <c r="K73" s="18">
        <v>10499</v>
      </c>
      <c r="L73" s="19" t="s">
        <v>13</v>
      </c>
      <c r="M73" s="12" t="str" cm="1">
        <f t="array" ref="M73">_xlfn.IFS(P73&lt;=O73,"في الموعد",P73&gt;=O73," متأخر")</f>
        <v>في الموعد</v>
      </c>
      <c r="N73" s="21">
        <v>45581</v>
      </c>
      <c r="O73" s="21">
        <v>45645</v>
      </c>
      <c r="P73" s="21">
        <v>45586</v>
      </c>
      <c r="Q73" s="13" t="s">
        <v>167</v>
      </c>
      <c r="R73" s="12" t="s">
        <v>166</v>
      </c>
    </row>
    <row r="74" spans="1:18" ht="20.100000000000001" customHeight="1" x14ac:dyDescent="0.25">
      <c r="A74" s="13" t="s">
        <v>186</v>
      </c>
      <c r="B74" s="13" t="s">
        <v>238</v>
      </c>
      <c r="C74" s="13" t="s">
        <v>187</v>
      </c>
      <c r="D74" s="12" t="s">
        <v>6</v>
      </c>
      <c r="E74" s="12" t="s">
        <v>130</v>
      </c>
      <c r="F74" s="13" t="s">
        <v>142</v>
      </c>
      <c r="G74" s="13" t="s">
        <v>132</v>
      </c>
      <c r="H74" s="13">
        <v>100</v>
      </c>
      <c r="I74" s="13" t="s">
        <v>184</v>
      </c>
      <c r="J74" s="13"/>
      <c r="K74" s="18">
        <v>12899</v>
      </c>
      <c r="L74" s="19" t="s">
        <v>13</v>
      </c>
      <c r="M74" s="12" t="str" cm="1">
        <f t="array" ref="M74">_xlfn.IFS(P74&lt;=O74,"في الموعد",P74&gt;=O74," متأخر")</f>
        <v>في الموعد</v>
      </c>
      <c r="N74" s="21">
        <v>45582</v>
      </c>
      <c r="O74" s="21">
        <v>45648</v>
      </c>
      <c r="P74" s="21">
        <v>45629</v>
      </c>
      <c r="Q74" s="13" t="s">
        <v>22</v>
      </c>
      <c r="R74" s="12" t="s">
        <v>166</v>
      </c>
    </row>
    <row r="75" spans="1:18" ht="20.100000000000001" customHeight="1" x14ac:dyDescent="0.25">
      <c r="A75" s="13" t="s">
        <v>188</v>
      </c>
      <c r="B75" s="13" t="s">
        <v>238</v>
      </c>
      <c r="C75" s="13" t="s">
        <v>189</v>
      </c>
      <c r="D75" s="13" t="s">
        <v>190</v>
      </c>
      <c r="E75" s="12" t="s">
        <v>130</v>
      </c>
      <c r="F75" s="13" t="s">
        <v>133</v>
      </c>
      <c r="G75" s="13" t="s">
        <v>153</v>
      </c>
      <c r="H75" s="13">
        <v>140</v>
      </c>
      <c r="I75" s="13" t="s">
        <v>178</v>
      </c>
      <c r="J75" s="13"/>
      <c r="K75" s="18">
        <v>5135</v>
      </c>
      <c r="L75" s="19" t="s">
        <v>13</v>
      </c>
      <c r="M75" s="12" t="str" cm="1">
        <f t="array" ref="M75">_xlfn.IFS(P75&lt;=O75,"في الموعد",P75&gt;=O75," متأخر")</f>
        <v>في الموعد</v>
      </c>
      <c r="N75" s="21">
        <v>45585</v>
      </c>
      <c r="O75" s="21">
        <v>45613</v>
      </c>
      <c r="P75" s="21">
        <v>45610</v>
      </c>
      <c r="Q75" s="13" t="s">
        <v>167</v>
      </c>
      <c r="R75" s="12" t="s">
        <v>166</v>
      </c>
    </row>
    <row r="76" spans="1:18" ht="20.100000000000001" customHeight="1" x14ac:dyDescent="0.25">
      <c r="A76" s="13" t="s">
        <v>68</v>
      </c>
      <c r="B76" s="13" t="s">
        <v>239</v>
      </c>
      <c r="C76" s="13" t="s">
        <v>168</v>
      </c>
      <c r="D76" s="13" t="s">
        <v>42</v>
      </c>
      <c r="E76" s="12" t="s">
        <v>130</v>
      </c>
      <c r="F76" s="13" t="s">
        <v>142</v>
      </c>
      <c r="G76" s="13" t="s">
        <v>134</v>
      </c>
      <c r="H76" s="13">
        <v>90</v>
      </c>
      <c r="I76" s="13" t="s">
        <v>144</v>
      </c>
      <c r="J76" s="13"/>
      <c r="K76" s="18">
        <v>5766</v>
      </c>
      <c r="L76" s="18" t="s">
        <v>70</v>
      </c>
      <c r="M76" s="13" t="str" cm="1">
        <f t="array" ref="M76">_xlfn.IFS(P76&lt;=O76,"في الموعد",P76&gt;=O76," متأخر")</f>
        <v>في الموعد</v>
      </c>
      <c r="N76" s="21">
        <v>45608</v>
      </c>
      <c r="O76" s="21">
        <v>45622</v>
      </c>
      <c r="P76" s="21">
        <v>45621</v>
      </c>
      <c r="Q76" s="13" t="s">
        <v>167</v>
      </c>
      <c r="R76" s="12" t="s">
        <v>166</v>
      </c>
    </row>
    <row r="77" spans="1:18" ht="20.100000000000001" customHeight="1" x14ac:dyDescent="0.25">
      <c r="A77" s="13" t="s">
        <v>194</v>
      </c>
      <c r="B77" s="13" t="s">
        <v>239</v>
      </c>
      <c r="C77" s="13" t="s">
        <v>91</v>
      </c>
      <c r="D77" s="13" t="s">
        <v>6</v>
      </c>
      <c r="E77" s="12" t="s">
        <v>130</v>
      </c>
      <c r="F77" s="13" t="s">
        <v>133</v>
      </c>
      <c r="G77" s="13" t="s">
        <v>136</v>
      </c>
      <c r="H77" s="13">
        <v>120</v>
      </c>
      <c r="I77" s="13" t="s">
        <v>143</v>
      </c>
      <c r="J77" s="13"/>
      <c r="K77" s="18">
        <v>5300</v>
      </c>
      <c r="L77" s="19" t="s">
        <v>266</v>
      </c>
      <c r="M77" s="12" t="str" cm="1">
        <f t="array" ref="M77">_xlfn.IFS(P77&lt;=O77,"في الموعد",P77&gt;=O77," متأخر")</f>
        <v xml:space="preserve"> متأخر</v>
      </c>
      <c r="N77" s="21">
        <v>45593</v>
      </c>
      <c r="O77" s="21">
        <v>45607</v>
      </c>
      <c r="P77" s="21">
        <v>45617</v>
      </c>
      <c r="Q77" s="13" t="s">
        <v>167</v>
      </c>
      <c r="R77" s="13" t="s">
        <v>166</v>
      </c>
    </row>
    <row r="78" spans="1:18" ht="20.100000000000001" customHeight="1" x14ac:dyDescent="0.25">
      <c r="A78" s="13" t="s">
        <v>193</v>
      </c>
      <c r="B78" s="13" t="s">
        <v>238</v>
      </c>
      <c r="C78" s="13" t="s">
        <v>240</v>
      </c>
      <c r="D78" s="12" t="s">
        <v>6</v>
      </c>
      <c r="E78" s="12" t="s">
        <v>130</v>
      </c>
      <c r="F78" s="13" t="s">
        <v>133</v>
      </c>
      <c r="G78" s="13" t="s">
        <v>153</v>
      </c>
      <c r="H78" s="13">
        <v>120</v>
      </c>
      <c r="I78" s="12" t="s">
        <v>143</v>
      </c>
      <c r="J78" s="13"/>
      <c r="K78" s="18">
        <v>8943</v>
      </c>
      <c r="L78" s="19" t="s">
        <v>266</v>
      </c>
      <c r="M78" s="19" t="str" cm="1">
        <f t="array" ref="M78">_xlfn.IFS(P78&lt;=O78,"في الموعد",P78&gt;=O78," متأخر")</f>
        <v xml:space="preserve"> متأخر</v>
      </c>
      <c r="N78" s="21">
        <v>45586</v>
      </c>
      <c r="O78" s="21">
        <v>45610</v>
      </c>
      <c r="P78" s="21">
        <v>45614</v>
      </c>
      <c r="Q78" s="13" t="s">
        <v>167</v>
      </c>
      <c r="R78" s="12" t="s">
        <v>166</v>
      </c>
    </row>
    <row r="79" spans="1:18" ht="20.100000000000001" customHeight="1" x14ac:dyDescent="0.25">
      <c r="A79" s="13" t="s">
        <v>25</v>
      </c>
      <c r="B79" s="13" t="s">
        <v>239</v>
      </c>
      <c r="C79" s="13" t="s">
        <v>179</v>
      </c>
      <c r="D79" s="13" t="s">
        <v>25</v>
      </c>
      <c r="E79" s="13" t="s">
        <v>170</v>
      </c>
      <c r="F79" s="13" t="s">
        <v>171</v>
      </c>
      <c r="G79" s="13"/>
      <c r="H79" s="13"/>
      <c r="I79" s="13" t="s">
        <v>144</v>
      </c>
      <c r="J79" s="13"/>
      <c r="K79" s="18">
        <v>15516</v>
      </c>
      <c r="L79" s="19" t="s">
        <v>13</v>
      </c>
      <c r="M79" s="12" t="str" cm="1">
        <f t="array" ref="M79">_xlfn.IFS(P79&lt;=O79,"في الموعد",P79&gt;=O79," متأخر")</f>
        <v>في الموعد</v>
      </c>
      <c r="N79" s="21">
        <v>45589</v>
      </c>
      <c r="O79" s="21">
        <v>45610</v>
      </c>
      <c r="P79" s="21">
        <v>45595</v>
      </c>
      <c r="Q79" s="13" t="s">
        <v>167</v>
      </c>
      <c r="R79" s="12" t="s">
        <v>166</v>
      </c>
    </row>
    <row r="80" spans="1:18" ht="20.100000000000001" customHeight="1" x14ac:dyDescent="0.25">
      <c r="A80" s="13" t="s">
        <v>68</v>
      </c>
      <c r="B80" s="13" t="s">
        <v>239</v>
      </c>
      <c r="C80" s="13" t="s">
        <v>201</v>
      </c>
      <c r="D80" s="13" t="s">
        <v>42</v>
      </c>
      <c r="E80" s="12" t="s">
        <v>130</v>
      </c>
      <c r="F80" s="13" t="s">
        <v>142</v>
      </c>
      <c r="G80" s="13" t="s">
        <v>132</v>
      </c>
      <c r="H80" s="13">
        <v>90</v>
      </c>
      <c r="I80" s="13" t="s">
        <v>144</v>
      </c>
      <c r="J80" s="13"/>
      <c r="K80" s="18">
        <v>5294</v>
      </c>
      <c r="L80" s="19" t="s">
        <v>70</v>
      </c>
      <c r="M80" s="12" t="str" cm="1">
        <f t="array" ref="M80">_xlfn.IFS(P80&lt;=O80,"في الموعد",P80&gt;=O80," متأخر")</f>
        <v>في الموعد</v>
      </c>
      <c r="N80" s="21">
        <v>45610</v>
      </c>
      <c r="O80" s="21">
        <v>45623</v>
      </c>
      <c r="P80" s="21">
        <v>45621</v>
      </c>
      <c r="Q80" s="13" t="s">
        <v>167</v>
      </c>
      <c r="R80" s="13" t="s">
        <v>166</v>
      </c>
    </row>
    <row r="81" spans="1:18" ht="20.100000000000001" customHeight="1" x14ac:dyDescent="0.25">
      <c r="A81" s="13" t="s">
        <v>112</v>
      </c>
      <c r="B81" s="13" t="s">
        <v>238</v>
      </c>
      <c r="C81" s="13" t="s">
        <v>104</v>
      </c>
      <c r="D81" s="12" t="s">
        <v>6</v>
      </c>
      <c r="E81" s="12" t="s">
        <v>130</v>
      </c>
      <c r="F81" s="13" t="s">
        <v>142</v>
      </c>
      <c r="G81" s="13" t="s">
        <v>134</v>
      </c>
      <c r="H81" s="13">
        <v>90</v>
      </c>
      <c r="I81" s="13" t="s">
        <v>144</v>
      </c>
      <c r="J81" s="13"/>
      <c r="K81" s="18">
        <v>11649</v>
      </c>
      <c r="L81" s="19" t="s">
        <v>266</v>
      </c>
      <c r="M81" s="12" t="str" cm="1">
        <f t="array" ref="M81">_xlfn.IFS(P81&lt;=O81,"في الموعد",P81&gt;=O81," متأخر")</f>
        <v xml:space="preserve"> متأخر</v>
      </c>
      <c r="N81" s="21">
        <v>45591</v>
      </c>
      <c r="O81" s="21">
        <v>45606</v>
      </c>
      <c r="P81" s="21">
        <v>45614</v>
      </c>
      <c r="Q81" s="13" t="s">
        <v>167</v>
      </c>
      <c r="R81" s="12" t="s">
        <v>166</v>
      </c>
    </row>
    <row r="82" spans="1:18" ht="20.100000000000001" customHeight="1" x14ac:dyDescent="0.25">
      <c r="A82" s="13" t="s">
        <v>68</v>
      </c>
      <c r="B82" s="13" t="s">
        <v>239</v>
      </c>
      <c r="C82" s="13" t="s">
        <v>168</v>
      </c>
      <c r="D82" s="12" t="s">
        <v>42</v>
      </c>
      <c r="E82" s="12" t="s">
        <v>130</v>
      </c>
      <c r="F82" s="13" t="s">
        <v>142</v>
      </c>
      <c r="G82" s="13" t="s">
        <v>135</v>
      </c>
      <c r="H82" s="13">
        <v>90</v>
      </c>
      <c r="I82" s="12" t="s">
        <v>146</v>
      </c>
      <c r="J82" s="13"/>
      <c r="K82" s="18">
        <v>5217</v>
      </c>
      <c r="L82" s="19" t="s">
        <v>70</v>
      </c>
      <c r="M82" s="12" t="str" cm="1">
        <f t="array" ref="M82">_xlfn.IFS(P82&lt;=O82,"في الموعد",P82&gt;=O82," متأخر")</f>
        <v>في الموعد</v>
      </c>
      <c r="N82" s="21">
        <v>45627</v>
      </c>
      <c r="O82" s="21">
        <v>45640</v>
      </c>
      <c r="P82" s="21">
        <v>45636</v>
      </c>
      <c r="Q82" s="13" t="s">
        <v>167</v>
      </c>
      <c r="R82" s="12" t="s">
        <v>166</v>
      </c>
    </row>
    <row r="83" spans="1:18" ht="20.100000000000001" customHeight="1" x14ac:dyDescent="0.25">
      <c r="A83" s="13" t="s">
        <v>194</v>
      </c>
      <c r="B83" s="13" t="s">
        <v>239</v>
      </c>
      <c r="C83" s="13" t="s">
        <v>91</v>
      </c>
      <c r="D83" s="12" t="s">
        <v>6</v>
      </c>
      <c r="E83" s="12" t="s">
        <v>130</v>
      </c>
      <c r="F83" s="13" t="s">
        <v>133</v>
      </c>
      <c r="G83" s="13" t="s">
        <v>136</v>
      </c>
      <c r="H83" s="13">
        <v>100</v>
      </c>
      <c r="I83" s="12" t="s">
        <v>143</v>
      </c>
      <c r="J83" s="13"/>
      <c r="K83" s="18">
        <v>5100</v>
      </c>
      <c r="L83" s="19" t="s">
        <v>266</v>
      </c>
      <c r="M83" s="12" t="str" cm="1">
        <f t="array" ref="M83">_xlfn.IFS(P83&lt;=O83,"في الموعد",P83&gt;=O83," متأخر")</f>
        <v xml:space="preserve"> متأخر</v>
      </c>
      <c r="N83" s="21">
        <v>45593</v>
      </c>
      <c r="O83" s="21">
        <v>45607</v>
      </c>
      <c r="P83" s="21">
        <v>45617</v>
      </c>
      <c r="Q83" s="13" t="s">
        <v>167</v>
      </c>
      <c r="R83" s="12" t="s">
        <v>166</v>
      </c>
    </row>
    <row r="84" spans="1:18" ht="20.100000000000001" customHeight="1" x14ac:dyDescent="0.25">
      <c r="A84" s="13" t="s">
        <v>195</v>
      </c>
      <c r="B84" s="13" t="s">
        <v>238</v>
      </c>
      <c r="C84" s="13" t="s">
        <v>53</v>
      </c>
      <c r="D84" s="12" t="s">
        <v>6</v>
      </c>
      <c r="E84" s="12" t="s">
        <v>130</v>
      </c>
      <c r="F84" s="13" t="s">
        <v>142</v>
      </c>
      <c r="G84" s="13" t="s">
        <v>135</v>
      </c>
      <c r="H84" s="13">
        <v>80</v>
      </c>
      <c r="I84" s="12" t="s">
        <v>143</v>
      </c>
      <c r="J84" s="13"/>
      <c r="K84" s="18">
        <v>12099</v>
      </c>
      <c r="L84" s="19" t="s">
        <v>13</v>
      </c>
      <c r="M84" s="12" t="str" cm="1">
        <f t="array" ref="M84">_xlfn.IFS(P84&lt;=O84,"في الموعد",P84&gt;=O84," متأخر")</f>
        <v xml:space="preserve"> متأخر</v>
      </c>
      <c r="N84" s="21">
        <v>45607</v>
      </c>
      <c r="O84" s="21">
        <v>45622</v>
      </c>
      <c r="P84" s="21">
        <v>45623</v>
      </c>
      <c r="Q84" s="13" t="s">
        <v>167</v>
      </c>
      <c r="R84" s="12" t="s">
        <v>166</v>
      </c>
    </row>
    <row r="85" spans="1:18" ht="20.100000000000001" customHeight="1" x14ac:dyDescent="0.25">
      <c r="A85" s="13" t="s">
        <v>39</v>
      </c>
      <c r="B85" s="13" t="s">
        <v>239</v>
      </c>
      <c r="C85" s="13" t="s">
        <v>179</v>
      </c>
      <c r="D85" s="13" t="s">
        <v>25</v>
      </c>
      <c r="E85" s="13" t="s">
        <v>170</v>
      </c>
      <c r="F85" s="13" t="s">
        <v>171</v>
      </c>
      <c r="G85" s="13" t="s">
        <v>196</v>
      </c>
      <c r="H85" s="13"/>
      <c r="I85" s="13" t="s">
        <v>144</v>
      </c>
      <c r="J85" s="13"/>
      <c r="K85" s="18">
        <v>15872</v>
      </c>
      <c r="L85" s="19" t="s">
        <v>197</v>
      </c>
      <c r="M85" s="12" t="str" cm="1">
        <f t="array" ref="M85">_xlfn.IFS(P85&lt;=O85,"في الموعد",P85&gt;=O85," متأخر")</f>
        <v>في الموعد</v>
      </c>
      <c r="N85" s="21">
        <v>45604</v>
      </c>
      <c r="O85" s="21">
        <v>45623</v>
      </c>
      <c r="P85" s="21">
        <v>45610</v>
      </c>
      <c r="Q85" s="13" t="s">
        <v>167</v>
      </c>
      <c r="R85" s="12" t="s">
        <v>166</v>
      </c>
    </row>
    <row r="86" spans="1:18" ht="20.100000000000001" customHeight="1" x14ac:dyDescent="0.25">
      <c r="A86" s="13" t="s">
        <v>68</v>
      </c>
      <c r="B86" s="13" t="s">
        <v>239</v>
      </c>
      <c r="C86" s="13" t="s">
        <v>168</v>
      </c>
      <c r="D86" s="13" t="s">
        <v>42</v>
      </c>
      <c r="E86" s="12" t="s">
        <v>130</v>
      </c>
      <c r="F86" s="13" t="s">
        <v>142</v>
      </c>
      <c r="G86" s="13" t="s">
        <v>135</v>
      </c>
      <c r="H86" s="13">
        <v>80</v>
      </c>
      <c r="I86" s="12" t="s">
        <v>143</v>
      </c>
      <c r="J86" s="13"/>
      <c r="K86" s="18">
        <v>5074</v>
      </c>
      <c r="L86" s="19" t="s">
        <v>70</v>
      </c>
      <c r="M86" s="12" t="str" cm="1">
        <f t="array" ref="M86">_xlfn.IFS(P86&lt;=O86,"في الموعد",P86&gt;=O86," متأخر")</f>
        <v xml:space="preserve"> متأخر</v>
      </c>
      <c r="N86" s="21">
        <v>45556</v>
      </c>
      <c r="O86" s="21">
        <v>45570</v>
      </c>
      <c r="P86" s="21">
        <v>45577</v>
      </c>
      <c r="Q86" s="13" t="s">
        <v>167</v>
      </c>
      <c r="R86" s="12" t="s">
        <v>166</v>
      </c>
    </row>
    <row r="87" spans="1:18" ht="20.100000000000001" customHeight="1" x14ac:dyDescent="0.3">
      <c r="A87" s="13" t="s">
        <v>172</v>
      </c>
      <c r="B87" s="13" t="s">
        <v>239</v>
      </c>
      <c r="C87" s="13" t="s">
        <v>173</v>
      </c>
      <c r="D87" s="13" t="s">
        <v>174</v>
      </c>
      <c r="E87" s="12" t="s">
        <v>130</v>
      </c>
      <c r="F87" s="13" t="s">
        <v>131</v>
      </c>
      <c r="G87" s="13"/>
      <c r="H87" s="13"/>
      <c r="I87" s="13" t="s">
        <v>144</v>
      </c>
      <c r="J87" s="13"/>
      <c r="K87" s="27">
        <v>4600</v>
      </c>
      <c r="L87" s="19" t="s">
        <v>266</v>
      </c>
      <c r="M87" s="12" t="str" cm="1">
        <f t="array" ref="M87">_xlfn.IFS(P87&lt;=O87,"في الموعد",P87&gt;=O87," متأخر")</f>
        <v>في الموعد</v>
      </c>
      <c r="N87" s="21">
        <v>45566</v>
      </c>
      <c r="O87" s="21">
        <v>45574</v>
      </c>
      <c r="P87" s="21">
        <v>45574</v>
      </c>
      <c r="Q87" s="13" t="s">
        <v>180</v>
      </c>
      <c r="R87" s="12" t="s">
        <v>166</v>
      </c>
    </row>
    <row r="88" spans="1:18" ht="20.100000000000001" customHeight="1" x14ac:dyDescent="0.25">
      <c r="A88" s="13" t="s">
        <v>199</v>
      </c>
      <c r="B88" s="12" t="s">
        <v>238</v>
      </c>
      <c r="C88" s="13" t="s">
        <v>91</v>
      </c>
      <c r="D88" s="12" t="s">
        <v>6</v>
      </c>
      <c r="E88" s="12" t="s">
        <v>130</v>
      </c>
      <c r="F88" s="13" t="s">
        <v>133</v>
      </c>
      <c r="G88" s="13" t="s">
        <v>153</v>
      </c>
      <c r="H88" s="13">
        <v>160</v>
      </c>
      <c r="I88" s="13" t="s">
        <v>149</v>
      </c>
      <c r="J88" s="13"/>
      <c r="K88" s="18">
        <v>11395</v>
      </c>
      <c r="L88" s="19" t="s">
        <v>13</v>
      </c>
      <c r="M88" s="12" t="str" cm="1">
        <f t="array" ref="M88">_xlfn.IFS(P88&lt;=O88,"في الموعد",P88&gt;=O88," متأخر")</f>
        <v xml:space="preserve"> متأخر</v>
      </c>
      <c r="N88" s="21">
        <v>45608</v>
      </c>
      <c r="O88" s="21">
        <v>45620</v>
      </c>
      <c r="P88" s="21">
        <v>45623</v>
      </c>
      <c r="Q88" s="13" t="s">
        <v>167</v>
      </c>
      <c r="R88" s="12" t="s">
        <v>166</v>
      </c>
    </row>
    <row r="89" spans="1:18" ht="20.100000000000001" customHeight="1" x14ac:dyDescent="0.25">
      <c r="A89" s="13" t="s">
        <v>200</v>
      </c>
      <c r="B89" s="13" t="s">
        <v>238</v>
      </c>
      <c r="C89" s="13" t="s">
        <v>53</v>
      </c>
      <c r="D89" s="12" t="s">
        <v>6</v>
      </c>
      <c r="E89" s="12" t="s">
        <v>130</v>
      </c>
      <c r="F89" s="13" t="s">
        <v>142</v>
      </c>
      <c r="G89" s="13" t="s">
        <v>134</v>
      </c>
      <c r="H89" s="13">
        <v>80</v>
      </c>
      <c r="I89" s="12" t="s">
        <v>143</v>
      </c>
      <c r="J89" s="13"/>
      <c r="K89" s="18">
        <v>12919</v>
      </c>
      <c r="L89" s="19" t="s">
        <v>13</v>
      </c>
      <c r="M89" s="12" t="str" cm="1">
        <f t="array" ref="M89">_xlfn.IFS(P89&lt;=O89,"في الموعد",P89&gt;=O89," متأخر")</f>
        <v>في الموعد</v>
      </c>
      <c r="N89" s="21">
        <v>45610</v>
      </c>
      <c r="O89" s="21">
        <v>45626</v>
      </c>
      <c r="P89" s="21">
        <v>45623</v>
      </c>
      <c r="Q89" s="13" t="s">
        <v>167</v>
      </c>
      <c r="R89" s="12" t="s">
        <v>166</v>
      </c>
    </row>
    <row r="90" spans="1:18" ht="20.100000000000001" customHeight="1" x14ac:dyDescent="0.25">
      <c r="A90" s="13" t="s">
        <v>198</v>
      </c>
      <c r="B90" s="13" t="s">
        <v>239</v>
      </c>
      <c r="C90" s="13" t="s">
        <v>53</v>
      </c>
      <c r="D90" s="13" t="s">
        <v>190</v>
      </c>
      <c r="E90" s="12" t="s">
        <v>130</v>
      </c>
      <c r="F90" s="13" t="s">
        <v>133</v>
      </c>
      <c r="G90" s="13" t="s">
        <v>153</v>
      </c>
      <c r="H90" s="13">
        <v>120</v>
      </c>
      <c r="I90" s="13" t="s">
        <v>143</v>
      </c>
      <c r="J90" s="13"/>
      <c r="K90" s="18">
        <v>4520</v>
      </c>
      <c r="L90" s="19" t="s">
        <v>70</v>
      </c>
      <c r="M90" s="12" t="str" cm="1">
        <f t="array" ref="M90">_xlfn.IFS(P90&lt;=O90,"في الموعد",P90&gt;=O90," متأخر")</f>
        <v>في الموعد</v>
      </c>
      <c r="N90" s="21">
        <v>45606</v>
      </c>
      <c r="O90" s="21">
        <v>45618</v>
      </c>
      <c r="P90" s="21">
        <v>45617</v>
      </c>
      <c r="Q90" s="13" t="s">
        <v>167</v>
      </c>
      <c r="R90" s="12" t="s">
        <v>166</v>
      </c>
    </row>
    <row r="91" spans="1:18" ht="20.100000000000001" customHeight="1" x14ac:dyDescent="0.25">
      <c r="A91" s="13" t="s">
        <v>68</v>
      </c>
      <c r="B91" s="13" t="s">
        <v>239</v>
      </c>
      <c r="C91" s="13" t="s">
        <v>69</v>
      </c>
      <c r="D91" s="13" t="s">
        <v>42</v>
      </c>
      <c r="E91" s="12" t="s">
        <v>130</v>
      </c>
      <c r="F91" s="13" t="s">
        <v>133</v>
      </c>
      <c r="G91" s="13" t="s">
        <v>153</v>
      </c>
      <c r="H91" s="13">
        <v>120</v>
      </c>
      <c r="I91" s="13" t="s">
        <v>143</v>
      </c>
      <c r="J91" s="13" t="s">
        <v>72</v>
      </c>
      <c r="K91" s="18">
        <v>4020</v>
      </c>
      <c r="L91" s="19" t="s">
        <v>70</v>
      </c>
      <c r="M91" s="12" t="str" cm="1">
        <f t="array" ref="M91">_xlfn.IFS(P91&lt;=O91,"في الموعد",P91&gt;=O91," متأخر")</f>
        <v xml:space="preserve"> متأخر</v>
      </c>
      <c r="N91" s="21">
        <v>45547</v>
      </c>
      <c r="O91" s="21">
        <v>45556</v>
      </c>
      <c r="P91" s="21">
        <v>45557</v>
      </c>
      <c r="Q91" s="13" t="s">
        <v>167</v>
      </c>
      <c r="R91" s="12" t="s">
        <v>166</v>
      </c>
    </row>
    <row r="92" spans="1:18" ht="20.100000000000001" customHeight="1" x14ac:dyDescent="0.25">
      <c r="A92" s="13" t="s">
        <v>203</v>
      </c>
      <c r="B92" s="13" t="s">
        <v>238</v>
      </c>
      <c r="C92" s="13" t="s">
        <v>240</v>
      </c>
      <c r="D92" s="13" t="s">
        <v>204</v>
      </c>
      <c r="E92" s="12" t="s">
        <v>130</v>
      </c>
      <c r="F92" s="13" t="s">
        <v>142</v>
      </c>
      <c r="G92" s="13" t="s">
        <v>135</v>
      </c>
      <c r="H92" s="13">
        <v>80</v>
      </c>
      <c r="I92" s="12" t="s">
        <v>143</v>
      </c>
      <c r="J92" s="13"/>
      <c r="K92" s="18">
        <v>7396</v>
      </c>
      <c r="L92" s="19" t="s">
        <v>13</v>
      </c>
      <c r="M92" s="12" t="str" cm="1">
        <f t="array" ref="M92">_xlfn.IFS(P92&lt;=O92,"في الموعد",P92&gt;=O92," متأخر")</f>
        <v>في الموعد</v>
      </c>
      <c r="N92" s="21">
        <v>45613</v>
      </c>
      <c r="O92" s="21">
        <v>45624</v>
      </c>
      <c r="P92" s="21">
        <v>45622</v>
      </c>
      <c r="Q92" s="13" t="s">
        <v>167</v>
      </c>
      <c r="R92" s="12" t="s">
        <v>166</v>
      </c>
    </row>
    <row r="93" spans="1:18" ht="20.100000000000001" customHeight="1" x14ac:dyDescent="0.25">
      <c r="A93" s="13" t="s">
        <v>112</v>
      </c>
      <c r="B93" s="13" t="s">
        <v>238</v>
      </c>
      <c r="C93" s="13" t="s">
        <v>240</v>
      </c>
      <c r="D93" s="12" t="s">
        <v>6</v>
      </c>
      <c r="E93" s="12" t="s">
        <v>130</v>
      </c>
      <c r="F93" s="13" t="s">
        <v>142</v>
      </c>
      <c r="G93" s="13" t="s">
        <v>134</v>
      </c>
      <c r="H93" s="13">
        <v>90</v>
      </c>
      <c r="I93" s="13" t="s">
        <v>144</v>
      </c>
      <c r="J93" s="13"/>
      <c r="K93" s="18">
        <v>13439</v>
      </c>
      <c r="L93" s="19" t="s">
        <v>266</v>
      </c>
      <c r="M93" s="12" t="str" cm="1">
        <f t="array" ref="M93">_xlfn.IFS(P93&lt;=O93,"في الموعد",P93&gt;=O93," متأخر")</f>
        <v>في الموعد</v>
      </c>
      <c r="N93" s="21">
        <v>45616</v>
      </c>
      <c r="O93" s="21">
        <v>45631</v>
      </c>
      <c r="P93" s="21">
        <v>45622</v>
      </c>
      <c r="Q93" s="13" t="s">
        <v>167</v>
      </c>
      <c r="R93" s="12" t="s">
        <v>166</v>
      </c>
    </row>
    <row r="94" spans="1:18" ht="20.100000000000001" customHeight="1" x14ac:dyDescent="0.25">
      <c r="A94" s="13" t="s">
        <v>205</v>
      </c>
      <c r="B94" s="13" t="s">
        <v>238</v>
      </c>
      <c r="C94" s="13" t="s">
        <v>53</v>
      </c>
      <c r="D94" s="13" t="s">
        <v>206</v>
      </c>
      <c r="E94" s="12" t="s">
        <v>130</v>
      </c>
      <c r="F94" s="13" t="s">
        <v>133</v>
      </c>
      <c r="G94" s="13" t="s">
        <v>154</v>
      </c>
      <c r="H94" s="13">
        <v>160</v>
      </c>
      <c r="I94" s="13" t="s">
        <v>152</v>
      </c>
      <c r="J94" s="13"/>
      <c r="K94" s="18">
        <v>6000</v>
      </c>
      <c r="L94" s="19" t="s">
        <v>266</v>
      </c>
      <c r="M94" s="12" t="str" cm="1">
        <f t="array" ref="M94">_xlfn.IFS(P94&lt;=O94,"في الموعد",P94&gt;=O94," متأخر")</f>
        <v>في الموعد</v>
      </c>
      <c r="N94" s="21">
        <v>45618</v>
      </c>
      <c r="O94" s="21">
        <v>45628</v>
      </c>
      <c r="P94" s="21">
        <v>45623</v>
      </c>
      <c r="Q94" s="13" t="s">
        <v>167</v>
      </c>
      <c r="R94" s="13" t="s">
        <v>166</v>
      </c>
    </row>
    <row r="95" spans="1:18" ht="20.100000000000001" customHeight="1" x14ac:dyDescent="0.25">
      <c r="A95" s="13" t="s">
        <v>68</v>
      </c>
      <c r="B95" s="13" t="s">
        <v>239</v>
      </c>
      <c r="C95" s="13" t="s">
        <v>69</v>
      </c>
      <c r="D95" s="12" t="s">
        <v>42</v>
      </c>
      <c r="E95" s="12" t="s">
        <v>130</v>
      </c>
      <c r="F95" s="13" t="s">
        <v>133</v>
      </c>
      <c r="G95" s="13" t="s">
        <v>145</v>
      </c>
      <c r="H95" s="13">
        <v>120</v>
      </c>
      <c r="I95" s="13" t="s">
        <v>144</v>
      </c>
      <c r="J95" s="13" t="s">
        <v>71</v>
      </c>
      <c r="K95" s="18">
        <v>4020</v>
      </c>
      <c r="L95" s="19" t="s">
        <v>98</v>
      </c>
      <c r="M95" s="12" t="str" cm="1">
        <f t="array" ref="M95">_xlfn.IFS(P95&lt;=O95,"في الموعد",P95&gt;=O95," متأخر")</f>
        <v xml:space="preserve"> متأخر</v>
      </c>
      <c r="N95" s="21">
        <v>45547</v>
      </c>
      <c r="O95" s="21">
        <v>45556</v>
      </c>
      <c r="P95" s="21">
        <v>45557</v>
      </c>
      <c r="Q95" s="13" t="s">
        <v>167</v>
      </c>
      <c r="R95" s="13" t="s">
        <v>166</v>
      </c>
    </row>
    <row r="96" spans="1:18" ht="20.100000000000001" customHeight="1" x14ac:dyDescent="0.25">
      <c r="A96" s="13" t="s">
        <v>31</v>
      </c>
      <c r="B96" s="13" t="s">
        <v>239</v>
      </c>
      <c r="C96" s="13" t="s">
        <v>32</v>
      </c>
      <c r="D96" s="13" t="s">
        <v>33</v>
      </c>
      <c r="E96" s="13" t="s">
        <v>170</v>
      </c>
      <c r="F96" s="13" t="s">
        <v>170</v>
      </c>
      <c r="G96" s="13" t="s">
        <v>196</v>
      </c>
      <c r="H96" s="13"/>
      <c r="I96" s="13"/>
      <c r="J96" s="13"/>
      <c r="K96" s="18">
        <v>6000</v>
      </c>
      <c r="L96" s="19" t="s">
        <v>266</v>
      </c>
      <c r="M96" s="12" t="str" cm="1">
        <f t="array" ref="M96">_xlfn.IFS(P96&lt;=O96,"في الموعد",P96&gt;=O96," متأخر")</f>
        <v>في الموعد</v>
      </c>
      <c r="N96" s="21">
        <v>45615</v>
      </c>
      <c r="O96" s="21">
        <v>45631</v>
      </c>
      <c r="P96" s="21">
        <v>45616</v>
      </c>
      <c r="Q96" s="13" t="s">
        <v>209</v>
      </c>
      <c r="R96" s="13" t="s">
        <v>166</v>
      </c>
    </row>
    <row r="97" spans="1:18" ht="20.100000000000001" customHeight="1" x14ac:dyDescent="0.25">
      <c r="A97" s="13" t="s">
        <v>210</v>
      </c>
      <c r="B97" s="13" t="s">
        <v>238</v>
      </c>
      <c r="C97" s="13" t="s">
        <v>211</v>
      </c>
      <c r="D97" s="12" t="s">
        <v>6</v>
      </c>
      <c r="E97" s="13" t="s">
        <v>137</v>
      </c>
      <c r="F97" s="13" t="s">
        <v>160</v>
      </c>
      <c r="G97" s="13" t="s">
        <v>212</v>
      </c>
      <c r="H97" s="13"/>
      <c r="I97" s="13"/>
      <c r="J97" s="13"/>
      <c r="K97" s="18">
        <v>8449</v>
      </c>
      <c r="L97" s="19" t="s">
        <v>13</v>
      </c>
      <c r="M97" s="12" t="str" cm="1">
        <f t="array" ref="M97">_xlfn.IFS(P97&lt;=O97,"في الموعد",P97&gt;=O97," متأخر")</f>
        <v xml:space="preserve"> متأخر</v>
      </c>
      <c r="N97" s="21">
        <v>45623</v>
      </c>
      <c r="O97" s="21">
        <v>45636</v>
      </c>
      <c r="P97" s="21">
        <v>45649</v>
      </c>
      <c r="Q97" s="13" t="s">
        <v>22</v>
      </c>
      <c r="R97" s="13" t="s">
        <v>166</v>
      </c>
    </row>
    <row r="98" spans="1:18" ht="20.100000000000001" customHeight="1" x14ac:dyDescent="0.25">
      <c r="A98" s="13" t="s">
        <v>213</v>
      </c>
      <c r="B98" s="13" t="s">
        <v>238</v>
      </c>
      <c r="C98" s="13" t="s">
        <v>45</v>
      </c>
      <c r="D98" s="12" t="s">
        <v>6</v>
      </c>
      <c r="E98" s="13" t="s">
        <v>137</v>
      </c>
      <c r="F98" s="13" t="s">
        <v>142</v>
      </c>
      <c r="G98" s="13" t="s">
        <v>214</v>
      </c>
      <c r="H98" s="13"/>
      <c r="I98" s="12" t="s">
        <v>143</v>
      </c>
      <c r="J98" s="13"/>
      <c r="K98" s="18">
        <v>10249</v>
      </c>
      <c r="L98" s="19" t="s">
        <v>266</v>
      </c>
      <c r="M98" s="12" t="str" cm="1">
        <f t="array" ref="M98">_xlfn.IFS(P98&lt;=O98,"في الموعد",P98&gt;=O98," متأخر")</f>
        <v xml:space="preserve"> متأخر</v>
      </c>
      <c r="N98" s="21">
        <v>45623</v>
      </c>
      <c r="O98" s="21">
        <v>45636</v>
      </c>
      <c r="P98" s="21">
        <v>45645</v>
      </c>
      <c r="Q98" s="13" t="s">
        <v>167</v>
      </c>
      <c r="R98" s="13" t="s">
        <v>166</v>
      </c>
    </row>
    <row r="99" spans="1:18" ht="20.100000000000001" customHeight="1" x14ac:dyDescent="0.25">
      <c r="A99" s="13" t="s">
        <v>215</v>
      </c>
      <c r="B99" s="13" t="s">
        <v>238</v>
      </c>
      <c r="C99" s="13" t="s">
        <v>216</v>
      </c>
      <c r="D99" s="12" t="s">
        <v>6</v>
      </c>
      <c r="E99" s="12" t="s">
        <v>130</v>
      </c>
      <c r="F99" s="13" t="s">
        <v>142</v>
      </c>
      <c r="G99" s="13" t="s">
        <v>135</v>
      </c>
      <c r="H99" s="13">
        <v>100</v>
      </c>
      <c r="I99" s="13" t="s">
        <v>144</v>
      </c>
      <c r="J99" s="13"/>
      <c r="K99" s="18">
        <v>14905</v>
      </c>
      <c r="L99" s="19" t="s">
        <v>13</v>
      </c>
      <c r="M99" s="12" t="str" cm="1">
        <f t="array" ref="M99">_xlfn.IFS(P99&lt;=O99,"في الموعد",P99&gt;=O99," متأخر")</f>
        <v>في الموعد</v>
      </c>
      <c r="N99" s="21">
        <v>45625</v>
      </c>
      <c r="O99" s="21">
        <v>45641</v>
      </c>
      <c r="P99" s="21"/>
      <c r="Q99" s="13" t="s">
        <v>267</v>
      </c>
      <c r="R99" s="13" t="s">
        <v>164</v>
      </c>
    </row>
    <row r="100" spans="1:18" ht="20.100000000000001" customHeight="1" x14ac:dyDescent="0.25">
      <c r="A100" s="13" t="s">
        <v>217</v>
      </c>
      <c r="B100" s="13" t="s">
        <v>238</v>
      </c>
      <c r="C100" s="13" t="s">
        <v>58</v>
      </c>
      <c r="D100" s="12" t="s">
        <v>6</v>
      </c>
      <c r="E100" s="12" t="s">
        <v>130</v>
      </c>
      <c r="F100" s="13" t="s">
        <v>142</v>
      </c>
      <c r="G100" s="13" t="s">
        <v>132</v>
      </c>
      <c r="H100" s="13">
        <v>80</v>
      </c>
      <c r="I100" s="12" t="s">
        <v>143</v>
      </c>
      <c r="J100" s="13"/>
      <c r="K100" s="18">
        <v>12099</v>
      </c>
      <c r="L100" s="19" t="s">
        <v>13</v>
      </c>
      <c r="M100" s="12" t="str" cm="1">
        <f t="array" ref="M100">_xlfn.IFS(P100&lt;=O100,"في الموعد",P100&gt;=O100," متأخر")</f>
        <v>في الموعد</v>
      </c>
      <c r="N100" s="21">
        <v>45628</v>
      </c>
      <c r="O100" s="21">
        <v>45643</v>
      </c>
      <c r="P100" s="21"/>
      <c r="Q100" s="13" t="s">
        <v>267</v>
      </c>
      <c r="R100" s="13" t="s">
        <v>164</v>
      </c>
    </row>
    <row r="101" spans="1:18" ht="20.100000000000001" customHeight="1" x14ac:dyDescent="0.25">
      <c r="A101" s="13" t="s">
        <v>68</v>
      </c>
      <c r="B101" s="13" t="s">
        <v>239</v>
      </c>
      <c r="C101" s="13" t="s">
        <v>168</v>
      </c>
      <c r="D101" s="13" t="s">
        <v>42</v>
      </c>
      <c r="E101" s="12" t="s">
        <v>130</v>
      </c>
      <c r="F101" s="13" t="s">
        <v>133</v>
      </c>
      <c r="G101" s="13" t="s">
        <v>153</v>
      </c>
      <c r="H101" s="13">
        <v>120</v>
      </c>
      <c r="I101" s="13" t="s">
        <v>143</v>
      </c>
      <c r="J101" s="13"/>
      <c r="K101" s="18">
        <v>4020</v>
      </c>
      <c r="L101" s="19" t="s">
        <v>70</v>
      </c>
      <c r="M101" s="12" t="str" cm="1">
        <f t="array" ref="M101">_xlfn.IFS(P101&lt;=O101,"في الموعد",P101&gt;=O101," متأخر")</f>
        <v>في الموعد</v>
      </c>
      <c r="N101" s="21">
        <v>45564</v>
      </c>
      <c r="O101" s="21">
        <v>45577</v>
      </c>
      <c r="P101" s="21">
        <v>45577</v>
      </c>
      <c r="Q101" s="13" t="s">
        <v>167</v>
      </c>
      <c r="R101" s="12" t="s">
        <v>166</v>
      </c>
    </row>
    <row r="102" spans="1:18" ht="20.100000000000001" customHeight="1" x14ac:dyDescent="0.25">
      <c r="A102" s="13" t="s">
        <v>218</v>
      </c>
      <c r="B102" s="13" t="s">
        <v>238</v>
      </c>
      <c r="C102" s="13" t="s">
        <v>116</v>
      </c>
      <c r="D102" s="12" t="s">
        <v>6</v>
      </c>
      <c r="E102" s="12" t="s">
        <v>130</v>
      </c>
      <c r="F102" s="12" t="s">
        <v>131</v>
      </c>
      <c r="G102" s="13"/>
      <c r="H102" s="13"/>
      <c r="I102" s="13" t="s">
        <v>144</v>
      </c>
      <c r="J102" s="13"/>
      <c r="K102" s="18">
        <v>10249</v>
      </c>
      <c r="L102" s="19" t="s">
        <v>266</v>
      </c>
      <c r="M102" s="12" t="str" cm="1">
        <f t="array" ref="M102">_xlfn.IFS(P102&lt;=O102,"في الموعد",P102&gt;=O102," متأخر")</f>
        <v xml:space="preserve"> متأخر</v>
      </c>
      <c r="N102" s="21">
        <v>45630</v>
      </c>
      <c r="O102" s="21">
        <v>45640</v>
      </c>
      <c r="P102" s="21">
        <v>45645</v>
      </c>
      <c r="Q102" s="13" t="s">
        <v>167</v>
      </c>
      <c r="R102" s="12" t="s">
        <v>166</v>
      </c>
    </row>
    <row r="103" spans="1:18" ht="20.100000000000001" customHeight="1" x14ac:dyDescent="0.25">
      <c r="A103" s="13" t="s">
        <v>219</v>
      </c>
      <c r="B103" s="13" t="s">
        <v>238</v>
      </c>
      <c r="C103" s="13" t="s">
        <v>241</v>
      </c>
      <c r="D103" s="13" t="s">
        <v>25</v>
      </c>
      <c r="E103" s="12" t="s">
        <v>130</v>
      </c>
      <c r="F103" s="13" t="s">
        <v>142</v>
      </c>
      <c r="G103" s="13" t="s">
        <v>134</v>
      </c>
      <c r="H103" s="13"/>
      <c r="I103" s="13" t="s">
        <v>144</v>
      </c>
      <c r="J103" s="13"/>
      <c r="K103" s="18">
        <v>10445</v>
      </c>
      <c r="L103" s="19" t="s">
        <v>266</v>
      </c>
      <c r="M103" s="12" t="str" cm="1">
        <f t="array" ref="M103">_xlfn.IFS(P103&lt;=O103,"في الموعد",P103&gt;=O103," متأخر")</f>
        <v>في الموعد</v>
      </c>
      <c r="N103" s="21">
        <v>45635</v>
      </c>
      <c r="O103" s="21">
        <v>45657</v>
      </c>
      <c r="P103" s="21">
        <v>45638</v>
      </c>
      <c r="Q103" s="13" t="s">
        <v>167</v>
      </c>
      <c r="R103" s="12" t="s">
        <v>166</v>
      </c>
    </row>
    <row r="104" spans="1:18" ht="20.100000000000001" customHeight="1" x14ac:dyDescent="0.25">
      <c r="A104" s="13" t="s">
        <v>220</v>
      </c>
      <c r="B104" s="13" t="s">
        <v>238</v>
      </c>
      <c r="C104" s="13" t="s">
        <v>53</v>
      </c>
      <c r="D104" s="12" t="s">
        <v>6</v>
      </c>
      <c r="E104" s="13" t="s">
        <v>137</v>
      </c>
      <c r="F104" s="13" t="s">
        <v>142</v>
      </c>
      <c r="G104" s="13" t="s">
        <v>214</v>
      </c>
      <c r="H104" s="13"/>
      <c r="I104" s="13" t="s">
        <v>144</v>
      </c>
      <c r="J104" s="13"/>
      <c r="K104" s="18">
        <v>11199</v>
      </c>
      <c r="L104" s="19" t="s">
        <v>266</v>
      </c>
      <c r="M104" s="12" t="str" cm="1">
        <f t="array" ref="M104">_xlfn.IFS(P104&lt;=O104,"في الموعد",P104&gt;=O104," متأخر")</f>
        <v>في الموعد</v>
      </c>
      <c r="N104" s="21">
        <v>45638</v>
      </c>
      <c r="O104" s="21">
        <v>45650</v>
      </c>
      <c r="P104" s="21">
        <v>45645</v>
      </c>
      <c r="Q104" s="13" t="s">
        <v>167</v>
      </c>
      <c r="R104" s="12" t="s">
        <v>166</v>
      </c>
    </row>
    <row r="105" spans="1:18" ht="20.100000000000001" customHeight="1" x14ac:dyDescent="0.25">
      <c r="A105" s="13" t="s">
        <v>221</v>
      </c>
      <c r="B105" s="12" t="s">
        <v>238</v>
      </c>
      <c r="C105" s="13" t="s">
        <v>240</v>
      </c>
      <c r="D105" s="12" t="s">
        <v>6</v>
      </c>
      <c r="E105" s="12" t="s">
        <v>130</v>
      </c>
      <c r="F105" s="13" t="s">
        <v>142</v>
      </c>
      <c r="G105" s="13" t="s">
        <v>132</v>
      </c>
      <c r="H105" s="13">
        <v>80</v>
      </c>
      <c r="I105" s="13" t="s">
        <v>144</v>
      </c>
      <c r="J105" s="13"/>
      <c r="K105" s="18">
        <v>13099</v>
      </c>
      <c r="L105" s="19" t="s">
        <v>266</v>
      </c>
      <c r="M105" s="12" t="str" cm="1">
        <f t="array" ref="M105">_xlfn.IFS(P105&lt;=O105,"في الموعد",P105&gt;=O105," متأخر")</f>
        <v xml:space="preserve"> متأخر</v>
      </c>
      <c r="N105" s="21">
        <v>45638</v>
      </c>
      <c r="O105" s="21">
        <v>45654</v>
      </c>
      <c r="P105" s="21">
        <v>45655</v>
      </c>
      <c r="Q105" s="13" t="s">
        <v>167</v>
      </c>
      <c r="R105" s="12" t="s">
        <v>166</v>
      </c>
    </row>
    <row r="106" spans="1:18" ht="20.100000000000001" customHeight="1" x14ac:dyDescent="0.25">
      <c r="A106" s="13" t="s">
        <v>39</v>
      </c>
      <c r="B106" s="13" t="s">
        <v>239</v>
      </c>
      <c r="C106" s="13" t="s">
        <v>179</v>
      </c>
      <c r="D106" s="13" t="s">
        <v>25</v>
      </c>
      <c r="E106" s="13" t="s">
        <v>170</v>
      </c>
      <c r="F106" s="13" t="s">
        <v>171</v>
      </c>
      <c r="G106" s="13" t="s">
        <v>196</v>
      </c>
      <c r="H106" s="13"/>
      <c r="I106" s="13" t="s">
        <v>144</v>
      </c>
      <c r="J106" s="13"/>
      <c r="K106" s="18">
        <v>8700</v>
      </c>
      <c r="L106" s="19" t="s">
        <v>70</v>
      </c>
      <c r="M106" s="12" t="str" cm="1">
        <f t="array" ref="M106">_xlfn.IFS(P106&lt;=O106,"في الموعد",P106&gt;=O106," متأخر")</f>
        <v>في الموعد</v>
      </c>
      <c r="N106" s="21">
        <v>45640</v>
      </c>
      <c r="O106" s="21">
        <v>45662</v>
      </c>
      <c r="P106" s="21">
        <v>45655</v>
      </c>
      <c r="Q106" s="13" t="s">
        <v>167</v>
      </c>
      <c r="R106" s="12" t="s">
        <v>166</v>
      </c>
    </row>
    <row r="107" spans="1:18" x14ac:dyDescent="0.25">
      <c r="A107" s="1"/>
      <c r="B107" s="1"/>
      <c r="C107" s="1"/>
      <c r="D107" s="1"/>
      <c r="E107" s="1"/>
      <c r="F107" s="1"/>
      <c r="G107" s="1"/>
      <c r="H107" s="1"/>
      <c r="I107" s="1"/>
      <c r="J107" s="1"/>
      <c r="K107" s="28"/>
      <c r="L107" s="28"/>
      <c r="M107" s="1"/>
      <c r="N107" s="22"/>
      <c r="O107" s="22"/>
      <c r="P107" s="22"/>
      <c r="Q107" s="1"/>
    </row>
    <row r="108" spans="1:18" x14ac:dyDescent="0.25">
      <c r="A108" s="1"/>
      <c r="B108" s="1"/>
      <c r="C108" s="1"/>
      <c r="D108" s="1"/>
      <c r="E108" s="1"/>
      <c r="F108" s="1"/>
      <c r="G108" s="1"/>
      <c r="H108" s="1"/>
      <c r="I108" s="1"/>
      <c r="J108" s="1"/>
      <c r="K108" s="28"/>
      <c r="L108" s="28"/>
      <c r="M108" s="1"/>
      <c r="N108" s="22"/>
      <c r="O108" s="22"/>
      <c r="P108" s="22"/>
      <c r="Q108" s="1"/>
    </row>
    <row r="109" spans="1:18" x14ac:dyDescent="0.25">
      <c r="A109" s="1"/>
      <c r="B109" s="1"/>
      <c r="C109" s="1"/>
      <c r="D109" s="1"/>
      <c r="E109" s="1"/>
      <c r="F109" s="1"/>
      <c r="G109" s="1"/>
      <c r="H109" s="1"/>
      <c r="I109" s="1"/>
      <c r="J109" s="1"/>
      <c r="K109" s="28"/>
      <c r="L109" s="28"/>
      <c r="M109" s="1">
        <f>COUNTA(Table1[[#All],[حاله التسليم]])</f>
        <v>106</v>
      </c>
      <c r="N109" s="22"/>
      <c r="O109" s="22"/>
      <c r="P109" s="22"/>
      <c r="Q109" s="1"/>
    </row>
    <row r="110" spans="1:18" x14ac:dyDescent="0.25">
      <c r="A110" s="1"/>
      <c r="B110" s="1"/>
      <c r="C110" s="1"/>
      <c r="D110" s="1"/>
      <c r="E110" s="1"/>
      <c r="F110" s="1"/>
      <c r="G110" s="1"/>
      <c r="H110" s="1"/>
      <c r="I110" s="1"/>
      <c r="J110" s="1"/>
      <c r="K110" s="28"/>
      <c r="L110" s="28"/>
      <c r="M110" s="1"/>
      <c r="N110" s="22"/>
      <c r="O110" s="22"/>
      <c r="P110" s="22"/>
      <c r="Q110" s="1"/>
    </row>
    <row r="111" spans="1:18" x14ac:dyDescent="0.25">
      <c r="A111" s="1"/>
      <c r="B111" s="1"/>
      <c r="C111" s="1"/>
      <c r="D111" s="1"/>
      <c r="E111" s="1"/>
      <c r="F111" s="1"/>
      <c r="G111" s="1"/>
      <c r="H111" s="1"/>
      <c r="I111" s="1"/>
      <c r="J111" s="1"/>
      <c r="K111" s="28"/>
      <c r="L111" s="28"/>
      <c r="M111" s="1"/>
      <c r="N111" s="22"/>
      <c r="O111" s="22"/>
      <c r="P111" s="22"/>
      <c r="Q111" s="1"/>
    </row>
    <row r="112" spans="1:18" x14ac:dyDescent="0.25">
      <c r="A112" s="1"/>
      <c r="B112" s="1"/>
      <c r="C112" s="1"/>
      <c r="D112" s="1"/>
      <c r="E112" s="1"/>
      <c r="F112" s="1"/>
      <c r="G112" s="1"/>
      <c r="H112" s="1"/>
      <c r="I112" s="1"/>
      <c r="J112" s="1"/>
      <c r="K112" s="28"/>
      <c r="L112" s="28"/>
      <c r="M112" s="1"/>
      <c r="N112" s="22"/>
      <c r="O112" s="22"/>
      <c r="P112" s="22"/>
      <c r="Q112" s="1"/>
    </row>
    <row r="113" spans="11:16" s="1" customFormat="1" x14ac:dyDescent="0.25">
      <c r="K113" s="28"/>
      <c r="L113" s="28"/>
      <c r="N113" s="22"/>
      <c r="O113" s="22"/>
      <c r="P113" s="22"/>
    </row>
    <row r="114" spans="11:16" s="1" customFormat="1" x14ac:dyDescent="0.25">
      <c r="K114" s="28"/>
      <c r="L114" s="28"/>
      <c r="N114" s="22"/>
      <c r="O114" s="22"/>
      <c r="P114" s="22"/>
    </row>
    <row r="115" spans="11:16" s="1" customFormat="1" x14ac:dyDescent="0.25">
      <c r="K115" s="28"/>
      <c r="L115" s="28"/>
      <c r="N115" s="22"/>
      <c r="O115" s="22"/>
      <c r="P115" s="22"/>
    </row>
    <row r="116" spans="11:16" s="1" customFormat="1" x14ac:dyDescent="0.25">
      <c r="K116" s="28"/>
      <c r="L116" s="28"/>
      <c r="N116" s="22"/>
      <c r="O116" s="22"/>
      <c r="P116" s="22"/>
    </row>
    <row r="117" spans="11:16" s="1" customFormat="1" x14ac:dyDescent="0.25">
      <c r="K117" s="28"/>
      <c r="L117" s="28"/>
      <c r="N117" s="22"/>
      <c r="O117" s="22"/>
      <c r="P117" s="22"/>
    </row>
    <row r="118" spans="11:16" s="1" customFormat="1" x14ac:dyDescent="0.25">
      <c r="K118" s="28"/>
      <c r="L118" s="28"/>
      <c r="N118" s="22"/>
      <c r="O118" s="22"/>
      <c r="P118" s="22"/>
    </row>
    <row r="119" spans="11:16" s="1" customFormat="1" x14ac:dyDescent="0.25">
      <c r="K119" s="28"/>
      <c r="L119" s="28"/>
      <c r="N119" s="22"/>
      <c r="O119" s="22"/>
      <c r="P119" s="22"/>
    </row>
    <row r="120" spans="11:16" s="1" customFormat="1" x14ac:dyDescent="0.25">
      <c r="K120" s="28"/>
      <c r="L120" s="28"/>
      <c r="N120" s="22"/>
      <c r="O120" s="22"/>
      <c r="P120" s="22"/>
    </row>
    <row r="121" spans="11:16" s="1" customFormat="1" x14ac:dyDescent="0.25">
      <c r="K121" s="28"/>
      <c r="L121" s="28"/>
      <c r="N121" s="22"/>
      <c r="O121" s="22"/>
      <c r="P121" s="22"/>
    </row>
    <row r="122" spans="11:16" s="1" customFormat="1" x14ac:dyDescent="0.25">
      <c r="K122" s="28"/>
      <c r="L122" s="28"/>
      <c r="N122" s="22"/>
      <c r="O122" s="22"/>
      <c r="P122" s="22"/>
    </row>
    <row r="123" spans="11:16" s="1" customFormat="1" x14ac:dyDescent="0.25">
      <c r="K123" s="28"/>
      <c r="L123" s="28"/>
      <c r="N123" s="22"/>
      <c r="O123" s="22"/>
      <c r="P123" s="22"/>
    </row>
    <row r="124" spans="11:16" s="1" customFormat="1" x14ac:dyDescent="0.25">
      <c r="K124" s="28"/>
      <c r="L124" s="28"/>
      <c r="N124" s="22"/>
      <c r="O124" s="22"/>
      <c r="P124" s="22"/>
    </row>
    <row r="125" spans="11:16" s="1" customFormat="1" x14ac:dyDescent="0.25">
      <c r="K125" s="28"/>
      <c r="L125" s="28"/>
      <c r="N125" s="22"/>
      <c r="O125" s="22"/>
      <c r="P125" s="22"/>
    </row>
    <row r="126" spans="11:16" s="1" customFormat="1" x14ac:dyDescent="0.25">
      <c r="K126" s="28"/>
      <c r="L126" s="28"/>
      <c r="N126" s="22"/>
      <c r="O126" s="22"/>
      <c r="P126" s="22"/>
    </row>
    <row r="127" spans="11:16" s="1" customFormat="1" x14ac:dyDescent="0.25">
      <c r="K127" s="28"/>
      <c r="L127" s="28"/>
      <c r="N127" s="22"/>
      <c r="O127" s="22"/>
      <c r="P127" s="22"/>
    </row>
    <row r="128" spans="11:16" s="1" customFormat="1" x14ac:dyDescent="0.25">
      <c r="K128" s="28"/>
      <c r="L128" s="28"/>
      <c r="N128" s="22"/>
      <c r="O128" s="22"/>
      <c r="P128" s="22"/>
    </row>
    <row r="129" spans="11:16" s="1" customFormat="1" x14ac:dyDescent="0.25">
      <c r="K129" s="28"/>
      <c r="L129" s="28"/>
      <c r="N129" s="22"/>
      <c r="O129" s="22"/>
      <c r="P129" s="22"/>
    </row>
    <row r="130" spans="11:16" s="1" customFormat="1" x14ac:dyDescent="0.25">
      <c r="K130" s="28"/>
      <c r="L130" s="28"/>
      <c r="N130" s="22"/>
      <c r="O130" s="22"/>
      <c r="P130" s="22"/>
    </row>
    <row r="131" spans="11:16" s="1" customFormat="1" x14ac:dyDescent="0.25">
      <c r="K131" s="28"/>
      <c r="L131" s="28"/>
      <c r="N131" s="22"/>
      <c r="O131" s="22"/>
      <c r="P131" s="22"/>
    </row>
    <row r="132" spans="11:16" s="1" customFormat="1" x14ac:dyDescent="0.25">
      <c r="K132" s="28"/>
      <c r="L132" s="28"/>
      <c r="N132" s="22"/>
      <c r="O132" s="22"/>
      <c r="P132" s="22"/>
    </row>
    <row r="133" spans="11:16" s="1" customFormat="1" x14ac:dyDescent="0.25">
      <c r="K133" s="28"/>
      <c r="L133" s="28"/>
      <c r="N133" s="22"/>
      <c r="O133" s="22"/>
      <c r="P133" s="22"/>
    </row>
    <row r="134" spans="11:16" s="1" customFormat="1" x14ac:dyDescent="0.25">
      <c r="K134" s="28"/>
      <c r="L134" s="28"/>
      <c r="N134" s="22"/>
      <c r="O134" s="22"/>
      <c r="P134" s="22"/>
    </row>
    <row r="135" spans="11:16" s="1" customFormat="1" x14ac:dyDescent="0.25">
      <c r="K135" s="28"/>
      <c r="L135" s="28"/>
      <c r="N135" s="22"/>
      <c r="O135" s="22"/>
      <c r="P135" s="22"/>
    </row>
    <row r="136" spans="11:16" s="1" customFormat="1" x14ac:dyDescent="0.25">
      <c r="K136" s="28"/>
      <c r="L136" s="28"/>
      <c r="N136" s="22"/>
      <c r="O136" s="22"/>
      <c r="P136" s="22"/>
    </row>
    <row r="137" spans="11:16" s="1" customFormat="1" x14ac:dyDescent="0.25">
      <c r="K137" s="28"/>
      <c r="L137" s="28"/>
      <c r="N137" s="22"/>
      <c r="O137" s="22"/>
      <c r="P137" s="22"/>
    </row>
    <row r="138" spans="11:16" s="1" customFormat="1" x14ac:dyDescent="0.25">
      <c r="K138" s="28"/>
      <c r="L138" s="28"/>
      <c r="N138" s="22"/>
      <c r="O138" s="22"/>
      <c r="P138" s="22"/>
    </row>
    <row r="139" spans="11:16" s="1" customFormat="1" x14ac:dyDescent="0.25">
      <c r="K139" s="28"/>
      <c r="L139" s="28"/>
      <c r="N139" s="22"/>
      <c r="O139" s="22"/>
      <c r="P139" s="22"/>
    </row>
    <row r="140" spans="11:16" s="1" customFormat="1" x14ac:dyDescent="0.25">
      <c r="K140" s="28"/>
      <c r="L140" s="28"/>
      <c r="N140" s="22"/>
      <c r="O140" s="22"/>
      <c r="P140" s="22"/>
    </row>
    <row r="141" spans="11:16" s="1" customFormat="1" x14ac:dyDescent="0.25">
      <c r="K141" s="28"/>
      <c r="L141" s="28"/>
      <c r="N141" s="22"/>
      <c r="O141" s="22"/>
      <c r="P141" s="22"/>
    </row>
    <row r="142" spans="11:16" s="1" customFormat="1" x14ac:dyDescent="0.25">
      <c r="K142" s="28"/>
      <c r="L142" s="28"/>
      <c r="N142" s="22"/>
      <c r="O142" s="22"/>
      <c r="P142" s="22"/>
    </row>
    <row r="143" spans="11:16" s="1" customFormat="1" x14ac:dyDescent="0.25">
      <c r="K143" s="28"/>
      <c r="L143" s="28"/>
      <c r="N143" s="22"/>
      <c r="O143" s="22"/>
      <c r="P143" s="22"/>
    </row>
    <row r="144" spans="11:16" s="1" customFormat="1" x14ac:dyDescent="0.25">
      <c r="K144" s="28"/>
      <c r="L144" s="28"/>
      <c r="N144" s="22"/>
      <c r="O144" s="22"/>
      <c r="P144" s="22"/>
    </row>
    <row r="145" spans="11:16" s="1" customFormat="1" x14ac:dyDescent="0.25">
      <c r="K145" s="28"/>
      <c r="L145" s="28"/>
      <c r="N145" s="22"/>
      <c r="O145" s="22"/>
      <c r="P145" s="22"/>
    </row>
    <row r="146" spans="11:16" s="1" customFormat="1" x14ac:dyDescent="0.25">
      <c r="K146" s="28"/>
      <c r="L146" s="28"/>
      <c r="N146" s="22"/>
      <c r="O146" s="22"/>
      <c r="P146" s="22"/>
    </row>
    <row r="147" spans="11:16" s="1" customFormat="1" x14ac:dyDescent="0.25">
      <c r="K147" s="28"/>
      <c r="L147" s="28"/>
      <c r="N147" s="22"/>
      <c r="O147" s="22"/>
      <c r="P147" s="22"/>
    </row>
    <row r="148" spans="11:16" s="1" customFormat="1" x14ac:dyDescent="0.25">
      <c r="K148" s="28"/>
      <c r="L148" s="28"/>
      <c r="N148" s="22"/>
      <c r="O148" s="22"/>
      <c r="P148" s="22"/>
    </row>
    <row r="149" spans="11:16" s="1" customFormat="1" x14ac:dyDescent="0.25">
      <c r="K149" s="28"/>
      <c r="L149" s="28"/>
      <c r="N149" s="22"/>
      <c r="O149" s="22"/>
      <c r="P149" s="22"/>
    </row>
    <row r="150" spans="11:16" s="1" customFormat="1" x14ac:dyDescent="0.25">
      <c r="K150" s="28"/>
      <c r="L150" s="28"/>
      <c r="N150" s="22"/>
      <c r="O150" s="22"/>
      <c r="P150" s="22"/>
    </row>
    <row r="151" spans="11:16" s="1" customFormat="1" x14ac:dyDescent="0.25">
      <c r="K151" s="28"/>
      <c r="L151" s="28"/>
      <c r="N151" s="22"/>
      <c r="O151" s="22"/>
      <c r="P151" s="22"/>
    </row>
    <row r="152" spans="11:16" s="1" customFormat="1" x14ac:dyDescent="0.25">
      <c r="K152" s="28"/>
      <c r="L152" s="28"/>
      <c r="N152" s="22"/>
      <c r="O152" s="22"/>
      <c r="P152" s="22"/>
    </row>
    <row r="153" spans="11:16" s="1" customFormat="1" x14ac:dyDescent="0.25">
      <c r="K153" s="28"/>
      <c r="L153" s="28"/>
      <c r="N153" s="22"/>
      <c r="O153" s="22"/>
      <c r="P153" s="22"/>
    </row>
    <row r="154" spans="11:16" s="1" customFormat="1" x14ac:dyDescent="0.25">
      <c r="K154" s="28"/>
      <c r="L154" s="28"/>
      <c r="N154" s="22"/>
      <c r="O154" s="22"/>
      <c r="P154" s="22"/>
    </row>
    <row r="155" spans="11:16" s="1" customFormat="1" x14ac:dyDescent="0.25">
      <c r="K155" s="28"/>
      <c r="L155" s="28"/>
      <c r="N155" s="22"/>
      <c r="O155" s="22"/>
      <c r="P155" s="22"/>
    </row>
    <row r="156" spans="11:16" s="1" customFormat="1" x14ac:dyDescent="0.25">
      <c r="K156" s="28"/>
      <c r="L156" s="28"/>
      <c r="N156" s="22"/>
      <c r="O156" s="22"/>
      <c r="P156" s="22"/>
    </row>
    <row r="157" spans="11:16" s="1" customFormat="1" x14ac:dyDescent="0.25">
      <c r="K157" s="28"/>
      <c r="L157" s="28"/>
      <c r="N157" s="22"/>
      <c r="O157" s="22"/>
      <c r="P157" s="22"/>
    </row>
    <row r="158" spans="11:16" s="1" customFormat="1" x14ac:dyDescent="0.25">
      <c r="K158" s="28"/>
      <c r="L158" s="28"/>
      <c r="N158" s="22"/>
      <c r="O158" s="22"/>
      <c r="P158" s="22"/>
    </row>
    <row r="159" spans="11:16" s="1" customFormat="1" x14ac:dyDescent="0.25">
      <c r="K159" s="28"/>
      <c r="L159" s="28"/>
      <c r="N159" s="22"/>
      <c r="O159" s="22"/>
      <c r="P159" s="22"/>
    </row>
    <row r="160" spans="11:16" s="1" customFormat="1" x14ac:dyDescent="0.25">
      <c r="K160" s="28"/>
      <c r="L160" s="28"/>
      <c r="N160" s="22"/>
      <c r="O160" s="22"/>
      <c r="P160" s="22"/>
    </row>
    <row r="161" spans="11:16" s="1" customFormat="1" x14ac:dyDescent="0.25">
      <c r="K161" s="28"/>
      <c r="L161" s="28"/>
      <c r="N161" s="22"/>
      <c r="O161" s="22"/>
      <c r="P161" s="22"/>
    </row>
    <row r="162" spans="11:16" s="1" customFormat="1" x14ac:dyDescent="0.25">
      <c r="K162" s="28"/>
      <c r="L162" s="28"/>
      <c r="N162" s="22"/>
      <c r="O162" s="22"/>
      <c r="P162" s="22"/>
    </row>
    <row r="163" spans="11:16" s="1" customFormat="1" x14ac:dyDescent="0.25">
      <c r="K163" s="28"/>
      <c r="L163" s="28"/>
      <c r="N163" s="22"/>
      <c r="O163" s="22"/>
      <c r="P163" s="22"/>
    </row>
    <row r="164" spans="11:16" s="1" customFormat="1" x14ac:dyDescent="0.25">
      <c r="K164" s="28"/>
      <c r="L164" s="28"/>
      <c r="N164" s="22"/>
      <c r="O164" s="22"/>
      <c r="P164" s="22"/>
    </row>
    <row r="165" spans="11:16" s="1" customFormat="1" x14ac:dyDescent="0.25">
      <c r="K165" s="28"/>
      <c r="L165" s="28"/>
      <c r="N165" s="22"/>
      <c r="O165" s="22"/>
      <c r="P165" s="22"/>
    </row>
    <row r="166" spans="11:16" s="1" customFormat="1" x14ac:dyDescent="0.25">
      <c r="K166" s="28"/>
      <c r="L166" s="28"/>
      <c r="N166" s="22"/>
      <c r="O166" s="22"/>
      <c r="P166" s="22"/>
    </row>
    <row r="167" spans="11:16" s="1" customFormat="1" x14ac:dyDescent="0.25">
      <c r="K167" s="28"/>
      <c r="L167" s="28"/>
      <c r="N167" s="22"/>
      <c r="O167" s="22"/>
      <c r="P167" s="22"/>
    </row>
    <row r="168" spans="11:16" s="1" customFormat="1" x14ac:dyDescent="0.25">
      <c r="K168" s="28"/>
      <c r="L168" s="28"/>
      <c r="N168" s="22"/>
      <c r="O168" s="22"/>
      <c r="P168" s="22"/>
    </row>
    <row r="169" spans="11:16" s="1" customFormat="1" x14ac:dyDescent="0.25">
      <c r="K169" s="28"/>
      <c r="L169" s="28"/>
      <c r="N169" s="22"/>
      <c r="O169" s="22"/>
      <c r="P169" s="22"/>
    </row>
    <row r="170" spans="11:16" s="1" customFormat="1" x14ac:dyDescent="0.25">
      <c r="K170" s="28"/>
      <c r="L170" s="28"/>
      <c r="N170" s="22"/>
      <c r="O170" s="22"/>
      <c r="P170" s="22"/>
    </row>
    <row r="171" spans="11:16" s="1" customFormat="1" x14ac:dyDescent="0.25">
      <c r="K171" s="28"/>
      <c r="L171" s="28"/>
      <c r="N171" s="22"/>
      <c r="O171" s="22"/>
      <c r="P171" s="22"/>
    </row>
    <row r="172" spans="11:16" s="1" customFormat="1" x14ac:dyDescent="0.25">
      <c r="K172" s="28"/>
      <c r="L172" s="28"/>
      <c r="N172" s="22"/>
      <c r="O172" s="22"/>
      <c r="P172" s="22"/>
    </row>
    <row r="173" spans="11:16" s="1" customFormat="1" x14ac:dyDescent="0.25">
      <c r="K173" s="28"/>
      <c r="L173" s="28"/>
      <c r="N173" s="22"/>
      <c r="O173" s="22"/>
      <c r="P173" s="22"/>
    </row>
    <row r="174" spans="11:16" s="1" customFormat="1" x14ac:dyDescent="0.25">
      <c r="K174" s="28"/>
      <c r="L174" s="28"/>
      <c r="N174" s="22"/>
      <c r="O174" s="22"/>
      <c r="P174" s="22"/>
    </row>
    <row r="175" spans="11:16" s="1" customFormat="1" x14ac:dyDescent="0.25">
      <c r="K175" s="28"/>
      <c r="L175" s="28"/>
      <c r="N175" s="22"/>
      <c r="O175" s="22"/>
      <c r="P175" s="22"/>
    </row>
    <row r="176" spans="11:16" s="1" customFormat="1" x14ac:dyDescent="0.25">
      <c r="K176" s="28"/>
      <c r="L176" s="28"/>
      <c r="N176" s="22"/>
      <c r="O176" s="22"/>
      <c r="P176" s="22"/>
    </row>
    <row r="177" spans="11:16" s="1" customFormat="1" x14ac:dyDescent="0.25">
      <c r="K177" s="28"/>
      <c r="L177" s="28"/>
      <c r="N177" s="22"/>
      <c r="O177" s="22"/>
      <c r="P177" s="22"/>
    </row>
    <row r="178" spans="11:16" s="1" customFormat="1" x14ac:dyDescent="0.25">
      <c r="K178" s="28"/>
      <c r="L178" s="28"/>
      <c r="N178" s="22"/>
      <c r="O178" s="22"/>
      <c r="P178" s="22"/>
    </row>
    <row r="179" spans="11:16" s="1" customFormat="1" x14ac:dyDescent="0.25">
      <c r="K179" s="28"/>
      <c r="L179" s="28"/>
      <c r="N179" s="22"/>
      <c r="O179" s="22"/>
      <c r="P179" s="22"/>
    </row>
    <row r="180" spans="11:16" s="1" customFormat="1" x14ac:dyDescent="0.25">
      <c r="K180" s="28"/>
      <c r="L180" s="28"/>
      <c r="N180" s="22"/>
      <c r="O180" s="22"/>
      <c r="P180" s="22"/>
    </row>
    <row r="181" spans="11:16" s="1" customFormat="1" x14ac:dyDescent="0.25">
      <c r="K181" s="28"/>
      <c r="L181" s="28"/>
      <c r="N181" s="22"/>
      <c r="O181" s="22"/>
      <c r="P181" s="22"/>
    </row>
    <row r="182" spans="11:16" s="1" customFormat="1" x14ac:dyDescent="0.25">
      <c r="K182" s="28"/>
      <c r="L182" s="28"/>
      <c r="N182" s="22"/>
      <c r="O182" s="22"/>
      <c r="P182" s="22"/>
    </row>
    <row r="183" spans="11:16" s="1" customFormat="1" x14ac:dyDescent="0.25">
      <c r="K183" s="28"/>
      <c r="L183" s="28"/>
      <c r="N183" s="22"/>
      <c r="O183" s="22"/>
      <c r="P183" s="22"/>
    </row>
    <row r="184" spans="11:16" s="1" customFormat="1" x14ac:dyDescent="0.25">
      <c r="K184" s="28"/>
      <c r="L184" s="28"/>
      <c r="N184" s="22"/>
      <c r="O184" s="22"/>
      <c r="P184" s="22"/>
    </row>
    <row r="185" spans="11:16" s="1" customFormat="1" x14ac:dyDescent="0.25">
      <c r="K185" s="28"/>
      <c r="L185" s="28"/>
      <c r="N185" s="22"/>
      <c r="O185" s="22"/>
      <c r="P185" s="22"/>
    </row>
    <row r="186" spans="11:16" s="1" customFormat="1" x14ac:dyDescent="0.25">
      <c r="K186" s="28"/>
      <c r="L186" s="28"/>
      <c r="N186" s="22"/>
      <c r="O186" s="22"/>
      <c r="P186" s="22"/>
    </row>
    <row r="187" spans="11:16" s="1" customFormat="1" x14ac:dyDescent="0.25">
      <c r="K187" s="28"/>
      <c r="L187" s="28"/>
      <c r="N187" s="22"/>
      <c r="O187" s="22"/>
      <c r="P187" s="22"/>
    </row>
    <row r="188" spans="11:16" s="1" customFormat="1" x14ac:dyDescent="0.25">
      <c r="K188" s="28"/>
      <c r="L188" s="28"/>
      <c r="N188" s="22"/>
      <c r="O188" s="22"/>
      <c r="P188" s="22"/>
    </row>
    <row r="189" spans="11:16" s="1" customFormat="1" x14ac:dyDescent="0.25">
      <c r="K189" s="28"/>
      <c r="L189" s="28"/>
      <c r="N189" s="22"/>
      <c r="O189" s="22"/>
      <c r="P189" s="22"/>
    </row>
    <row r="190" spans="11:16" s="1" customFormat="1" x14ac:dyDescent="0.25">
      <c r="K190" s="28"/>
      <c r="L190" s="28"/>
      <c r="N190" s="22"/>
      <c r="O190" s="22"/>
      <c r="P190" s="22"/>
    </row>
    <row r="191" spans="11:16" s="1" customFormat="1" x14ac:dyDescent="0.25">
      <c r="K191" s="28"/>
      <c r="L191" s="28"/>
      <c r="N191" s="22"/>
      <c r="O191" s="22"/>
      <c r="P191" s="22"/>
    </row>
    <row r="192" spans="11:16" s="1" customFormat="1" x14ac:dyDescent="0.25">
      <c r="K192" s="28"/>
      <c r="L192" s="28"/>
      <c r="N192" s="22"/>
      <c r="O192" s="22"/>
      <c r="P192" s="22"/>
    </row>
    <row r="193" spans="11:16" s="1" customFormat="1" x14ac:dyDescent="0.25">
      <c r="K193" s="28"/>
      <c r="L193" s="28"/>
      <c r="N193" s="22"/>
      <c r="O193" s="22"/>
      <c r="P193" s="22"/>
    </row>
    <row r="194" spans="11:16" s="1" customFormat="1" x14ac:dyDescent="0.25">
      <c r="K194" s="28"/>
      <c r="L194" s="28"/>
      <c r="N194" s="22"/>
      <c r="O194" s="22"/>
      <c r="P194" s="22"/>
    </row>
    <row r="195" spans="11:16" s="1" customFormat="1" x14ac:dyDescent="0.25">
      <c r="K195" s="28"/>
      <c r="L195" s="28"/>
      <c r="N195" s="22"/>
      <c r="O195" s="22"/>
      <c r="P195" s="22"/>
    </row>
    <row r="196" spans="11:16" s="1" customFormat="1" x14ac:dyDescent="0.25">
      <c r="K196" s="28"/>
      <c r="L196" s="28"/>
      <c r="N196" s="22"/>
      <c r="O196" s="22"/>
      <c r="P196" s="22"/>
    </row>
    <row r="197" spans="11:16" s="1" customFormat="1" x14ac:dyDescent="0.25">
      <c r="K197" s="28"/>
      <c r="L197" s="28"/>
      <c r="N197" s="22"/>
      <c r="O197" s="22"/>
      <c r="P197" s="22"/>
    </row>
    <row r="198" spans="11:16" s="1" customFormat="1" x14ac:dyDescent="0.25">
      <c r="K198" s="28"/>
      <c r="L198" s="28"/>
      <c r="N198" s="22"/>
      <c r="O198" s="22"/>
      <c r="P198" s="22"/>
    </row>
    <row r="199" spans="11:16" s="1" customFormat="1" x14ac:dyDescent="0.25">
      <c r="K199" s="28"/>
      <c r="L199" s="28"/>
      <c r="N199" s="22"/>
      <c r="O199" s="22"/>
      <c r="P199" s="22"/>
    </row>
    <row r="200" spans="11:16" s="1" customFormat="1" x14ac:dyDescent="0.25">
      <c r="K200" s="28"/>
      <c r="L200" s="28"/>
      <c r="N200" s="22"/>
      <c r="O200" s="22"/>
      <c r="P200" s="22"/>
    </row>
    <row r="201" spans="11:16" s="1" customFormat="1" x14ac:dyDescent="0.25">
      <c r="K201" s="28"/>
      <c r="L201" s="28"/>
      <c r="N201" s="22"/>
      <c r="O201" s="22"/>
      <c r="P201" s="22"/>
    </row>
    <row r="202" spans="11:16" s="1" customFormat="1" x14ac:dyDescent="0.25">
      <c r="K202" s="28"/>
      <c r="L202" s="28"/>
      <c r="N202" s="22"/>
      <c r="O202" s="22"/>
      <c r="P202" s="22"/>
    </row>
    <row r="203" spans="11:16" s="1" customFormat="1" x14ac:dyDescent="0.25">
      <c r="K203" s="28"/>
      <c r="L203" s="28"/>
      <c r="N203" s="22"/>
      <c r="O203" s="22"/>
      <c r="P203" s="22"/>
    </row>
    <row r="204" spans="11:16" s="1" customFormat="1" x14ac:dyDescent="0.25">
      <c r="K204" s="28"/>
      <c r="L204" s="28"/>
      <c r="N204" s="22"/>
      <c r="O204" s="22"/>
      <c r="P204" s="22"/>
    </row>
    <row r="205" spans="11:16" s="1" customFormat="1" x14ac:dyDescent="0.25">
      <c r="K205" s="28"/>
      <c r="L205" s="28"/>
      <c r="N205" s="22"/>
      <c r="O205" s="22"/>
      <c r="P205" s="22"/>
    </row>
    <row r="206" spans="11:16" s="1" customFormat="1" x14ac:dyDescent="0.25">
      <c r="K206" s="28"/>
      <c r="L206" s="28"/>
      <c r="N206" s="22"/>
      <c r="O206" s="22"/>
      <c r="P206" s="22"/>
    </row>
    <row r="207" spans="11:16" s="1" customFormat="1" x14ac:dyDescent="0.25">
      <c r="K207" s="28"/>
      <c r="L207" s="28"/>
      <c r="N207" s="22"/>
      <c r="O207" s="22"/>
      <c r="P207" s="22"/>
    </row>
    <row r="208" spans="11:16" s="1" customFormat="1" x14ac:dyDescent="0.25">
      <c r="K208" s="28"/>
      <c r="L208" s="28"/>
      <c r="N208" s="22"/>
      <c r="O208" s="22"/>
      <c r="P208" s="22"/>
    </row>
    <row r="209" spans="11:16" s="1" customFormat="1" x14ac:dyDescent="0.25">
      <c r="K209" s="28"/>
      <c r="L209" s="28"/>
      <c r="N209" s="22"/>
      <c r="O209" s="22"/>
      <c r="P209" s="22"/>
    </row>
    <row r="210" spans="11:16" s="1" customFormat="1" x14ac:dyDescent="0.25">
      <c r="K210" s="28"/>
      <c r="L210" s="28"/>
      <c r="N210" s="22"/>
      <c r="O210" s="22"/>
      <c r="P210" s="22"/>
    </row>
    <row r="211" spans="11:16" s="1" customFormat="1" x14ac:dyDescent="0.25">
      <c r="K211" s="28"/>
      <c r="L211" s="28"/>
      <c r="N211" s="22"/>
      <c r="O211" s="22"/>
      <c r="P211" s="22"/>
    </row>
    <row r="212" spans="11:16" s="1" customFormat="1" x14ac:dyDescent="0.25">
      <c r="K212" s="28"/>
      <c r="L212" s="28"/>
      <c r="N212" s="22"/>
      <c r="O212" s="22"/>
      <c r="P212" s="22"/>
    </row>
    <row r="213" spans="11:16" s="1" customFormat="1" x14ac:dyDescent="0.25">
      <c r="K213" s="28"/>
      <c r="L213" s="28"/>
      <c r="N213" s="22"/>
      <c r="O213" s="22"/>
      <c r="P213" s="22"/>
    </row>
    <row r="214" spans="11:16" s="1" customFormat="1" x14ac:dyDescent="0.25">
      <c r="K214" s="28"/>
      <c r="L214" s="28"/>
      <c r="N214" s="22"/>
      <c r="O214" s="22"/>
      <c r="P214" s="22"/>
    </row>
    <row r="215" spans="11:16" s="1" customFormat="1" x14ac:dyDescent="0.25">
      <c r="K215" s="28"/>
      <c r="L215" s="28"/>
      <c r="N215" s="22"/>
      <c r="O215" s="22"/>
      <c r="P215" s="22"/>
    </row>
    <row r="216" spans="11:16" s="1" customFormat="1" x14ac:dyDescent="0.25">
      <c r="K216" s="28"/>
      <c r="L216" s="28"/>
      <c r="N216" s="22"/>
      <c r="O216" s="22"/>
      <c r="P216" s="22"/>
    </row>
    <row r="217" spans="11:16" s="1" customFormat="1" x14ac:dyDescent="0.25">
      <c r="K217" s="28"/>
      <c r="L217" s="28"/>
      <c r="N217" s="22"/>
      <c r="O217" s="22"/>
      <c r="P217" s="22"/>
    </row>
    <row r="218" spans="11:16" s="1" customFormat="1" x14ac:dyDescent="0.25">
      <c r="K218" s="28"/>
      <c r="L218" s="28"/>
      <c r="N218" s="22"/>
      <c r="O218" s="22"/>
      <c r="P218" s="22"/>
    </row>
    <row r="219" spans="11:16" s="1" customFormat="1" x14ac:dyDescent="0.25">
      <c r="K219" s="28"/>
      <c r="L219" s="28"/>
      <c r="N219" s="22"/>
      <c r="O219" s="22"/>
      <c r="P219" s="22"/>
    </row>
    <row r="220" spans="11:16" s="1" customFormat="1" x14ac:dyDescent="0.25">
      <c r="K220" s="28"/>
      <c r="L220" s="28"/>
      <c r="N220" s="22"/>
      <c r="O220" s="22"/>
      <c r="P220" s="22"/>
    </row>
    <row r="221" spans="11:16" s="1" customFormat="1" x14ac:dyDescent="0.25">
      <c r="K221" s="28"/>
      <c r="L221" s="28"/>
      <c r="N221" s="22"/>
      <c r="O221" s="22"/>
      <c r="P221" s="22"/>
    </row>
    <row r="222" spans="11:16" s="1" customFormat="1" x14ac:dyDescent="0.25">
      <c r="K222" s="28"/>
      <c r="L222" s="28"/>
      <c r="N222" s="22"/>
      <c r="O222" s="22"/>
      <c r="P222" s="22"/>
    </row>
    <row r="223" spans="11:16" s="1" customFormat="1" x14ac:dyDescent="0.25">
      <c r="K223" s="28"/>
      <c r="L223" s="28"/>
      <c r="N223" s="22"/>
      <c r="O223" s="22"/>
      <c r="P223" s="22"/>
    </row>
    <row r="224" spans="11:16" s="1" customFormat="1" x14ac:dyDescent="0.25">
      <c r="K224" s="28"/>
      <c r="L224" s="28"/>
      <c r="N224" s="22"/>
      <c r="O224" s="22"/>
      <c r="P224" s="22"/>
    </row>
    <row r="225" spans="11:16" s="1" customFormat="1" x14ac:dyDescent="0.25">
      <c r="K225" s="28"/>
      <c r="L225" s="28"/>
      <c r="N225" s="22"/>
      <c r="O225" s="22"/>
      <c r="P225" s="22"/>
    </row>
    <row r="226" spans="11:16" s="1" customFormat="1" x14ac:dyDescent="0.25">
      <c r="K226" s="28"/>
      <c r="L226" s="28"/>
      <c r="N226" s="22"/>
      <c r="O226" s="22"/>
      <c r="P226" s="22"/>
    </row>
    <row r="227" spans="11:16" s="1" customFormat="1" x14ac:dyDescent="0.25">
      <c r="K227" s="28"/>
      <c r="L227" s="28"/>
      <c r="N227" s="22"/>
      <c r="O227" s="22"/>
      <c r="P227" s="22"/>
    </row>
    <row r="228" spans="11:16" s="1" customFormat="1" x14ac:dyDescent="0.25">
      <c r="K228" s="28"/>
      <c r="L228" s="28"/>
      <c r="N228" s="22"/>
      <c r="O228" s="22"/>
      <c r="P228" s="22"/>
    </row>
    <row r="229" spans="11:16" s="1" customFormat="1" x14ac:dyDescent="0.25">
      <c r="K229" s="28"/>
      <c r="L229" s="28"/>
      <c r="N229" s="22"/>
      <c r="O229" s="22"/>
      <c r="P229" s="22"/>
    </row>
    <row r="230" spans="11:16" s="1" customFormat="1" x14ac:dyDescent="0.25">
      <c r="K230" s="28"/>
      <c r="L230" s="28"/>
      <c r="N230" s="22"/>
      <c r="O230" s="22"/>
      <c r="P230" s="22"/>
    </row>
    <row r="231" spans="11:16" s="1" customFormat="1" x14ac:dyDescent="0.25">
      <c r="K231" s="28"/>
      <c r="L231" s="28"/>
      <c r="N231" s="22"/>
      <c r="O231" s="22"/>
      <c r="P231" s="22"/>
    </row>
    <row r="232" spans="11:16" s="1" customFormat="1" x14ac:dyDescent="0.25">
      <c r="K232" s="28"/>
      <c r="L232" s="28"/>
      <c r="N232" s="22"/>
      <c r="O232" s="22"/>
      <c r="P232" s="22"/>
    </row>
    <row r="233" spans="11:16" s="1" customFormat="1" x14ac:dyDescent="0.25">
      <c r="K233" s="28"/>
      <c r="L233" s="28"/>
      <c r="N233" s="22"/>
      <c r="O233" s="22"/>
      <c r="P233" s="22"/>
    </row>
    <row r="234" spans="11:16" s="1" customFormat="1" x14ac:dyDescent="0.25">
      <c r="K234" s="28"/>
      <c r="L234" s="28"/>
      <c r="N234" s="22"/>
      <c r="O234" s="22"/>
      <c r="P234" s="22"/>
    </row>
    <row r="235" spans="11:16" s="1" customFormat="1" x14ac:dyDescent="0.25">
      <c r="K235" s="28"/>
      <c r="L235" s="28"/>
      <c r="N235" s="22"/>
      <c r="O235" s="22"/>
      <c r="P235" s="22"/>
    </row>
    <row r="236" spans="11:16" s="1" customFormat="1" x14ac:dyDescent="0.25">
      <c r="K236" s="28"/>
      <c r="L236" s="28"/>
      <c r="N236" s="22"/>
      <c r="O236" s="22"/>
      <c r="P236" s="22"/>
    </row>
    <row r="237" spans="11:16" s="1" customFormat="1" x14ac:dyDescent="0.25">
      <c r="K237" s="28"/>
      <c r="L237" s="28"/>
      <c r="N237" s="22"/>
      <c r="O237" s="22"/>
      <c r="P237" s="22"/>
    </row>
    <row r="238" spans="11:16" s="1" customFormat="1" x14ac:dyDescent="0.25">
      <c r="K238" s="28"/>
      <c r="L238" s="28"/>
      <c r="N238" s="22"/>
      <c r="O238" s="22"/>
      <c r="P238" s="22"/>
    </row>
    <row r="239" spans="11:16" s="1" customFormat="1" x14ac:dyDescent="0.25">
      <c r="K239" s="28"/>
      <c r="L239" s="28"/>
      <c r="N239" s="22"/>
      <c r="O239" s="22"/>
      <c r="P239" s="22"/>
    </row>
    <row r="240" spans="11:16" s="1" customFormat="1" x14ac:dyDescent="0.25">
      <c r="K240" s="28"/>
      <c r="L240" s="28"/>
      <c r="N240" s="22"/>
      <c r="O240" s="22"/>
      <c r="P240" s="22"/>
    </row>
    <row r="241" spans="11:16" s="1" customFormat="1" x14ac:dyDescent="0.25">
      <c r="K241" s="28"/>
      <c r="L241" s="28"/>
      <c r="N241" s="22"/>
      <c r="O241" s="22"/>
      <c r="P241" s="22"/>
    </row>
    <row r="242" spans="11:16" s="1" customFormat="1" x14ac:dyDescent="0.25">
      <c r="K242" s="28"/>
      <c r="L242" s="28"/>
      <c r="N242" s="22"/>
      <c r="O242" s="22"/>
      <c r="P242" s="22"/>
    </row>
    <row r="243" spans="11:16" s="1" customFormat="1" x14ac:dyDescent="0.25">
      <c r="K243" s="28"/>
      <c r="L243" s="28"/>
      <c r="N243" s="22"/>
      <c r="O243" s="22"/>
      <c r="P243" s="22"/>
    </row>
    <row r="244" spans="11:16" s="1" customFormat="1" x14ac:dyDescent="0.25">
      <c r="K244" s="28"/>
      <c r="L244" s="28"/>
      <c r="N244" s="22"/>
      <c r="O244" s="22"/>
      <c r="P244" s="22"/>
    </row>
    <row r="245" spans="11:16" s="1" customFormat="1" x14ac:dyDescent="0.25">
      <c r="K245" s="28"/>
      <c r="L245" s="28"/>
      <c r="N245" s="22"/>
      <c r="O245" s="22"/>
      <c r="P245" s="22"/>
    </row>
    <row r="246" spans="11:16" s="1" customFormat="1" x14ac:dyDescent="0.25">
      <c r="K246" s="28"/>
      <c r="L246" s="28"/>
      <c r="N246" s="22"/>
      <c r="O246" s="22"/>
      <c r="P246" s="22"/>
    </row>
    <row r="247" spans="11:16" s="1" customFormat="1" x14ac:dyDescent="0.25">
      <c r="K247" s="28"/>
      <c r="L247" s="28"/>
      <c r="N247" s="22"/>
      <c r="O247" s="22"/>
      <c r="P247" s="22"/>
    </row>
    <row r="248" spans="11:16" s="1" customFormat="1" x14ac:dyDescent="0.25">
      <c r="K248" s="28"/>
      <c r="L248" s="28"/>
      <c r="N248" s="22"/>
      <c r="O248" s="22"/>
      <c r="P248" s="22"/>
    </row>
    <row r="249" spans="11:16" s="1" customFormat="1" x14ac:dyDescent="0.25">
      <c r="K249" s="28"/>
      <c r="L249" s="28"/>
      <c r="N249" s="22"/>
      <c r="O249" s="22"/>
      <c r="P249" s="22"/>
    </row>
    <row r="250" spans="11:16" s="1" customFormat="1" x14ac:dyDescent="0.25">
      <c r="K250" s="28"/>
      <c r="L250" s="28"/>
      <c r="N250" s="22"/>
      <c r="O250" s="22"/>
      <c r="P250" s="22"/>
    </row>
    <row r="251" spans="11:16" s="1" customFormat="1" x14ac:dyDescent="0.25">
      <c r="K251" s="28"/>
      <c r="L251" s="28"/>
      <c r="N251" s="22"/>
      <c r="O251" s="22"/>
      <c r="P251" s="22"/>
    </row>
    <row r="252" spans="11:16" s="1" customFormat="1" x14ac:dyDescent="0.25">
      <c r="K252" s="28"/>
      <c r="L252" s="28"/>
      <c r="N252" s="22"/>
      <c r="O252" s="22"/>
      <c r="P252" s="22"/>
    </row>
    <row r="253" spans="11:16" s="1" customFormat="1" x14ac:dyDescent="0.25">
      <c r="K253" s="28"/>
      <c r="L253" s="28"/>
      <c r="N253" s="22"/>
      <c r="O253" s="22"/>
      <c r="P253" s="22"/>
    </row>
    <row r="254" spans="11:16" s="1" customFormat="1" x14ac:dyDescent="0.25">
      <c r="K254" s="28"/>
      <c r="L254" s="28"/>
      <c r="N254" s="22"/>
      <c r="O254" s="22"/>
      <c r="P254" s="22"/>
    </row>
    <row r="255" spans="11:16" s="1" customFormat="1" x14ac:dyDescent="0.25">
      <c r="K255" s="28"/>
      <c r="L255" s="28"/>
      <c r="N255" s="22"/>
      <c r="O255" s="22"/>
      <c r="P255" s="22"/>
    </row>
    <row r="256" spans="11:16" s="1" customFormat="1" x14ac:dyDescent="0.25">
      <c r="K256" s="28"/>
      <c r="L256" s="28"/>
      <c r="N256" s="22"/>
      <c r="O256" s="22"/>
      <c r="P256" s="22"/>
    </row>
    <row r="257" spans="11:16" s="1" customFormat="1" x14ac:dyDescent="0.25">
      <c r="K257" s="28"/>
      <c r="L257" s="28"/>
      <c r="N257" s="22"/>
      <c r="O257" s="22"/>
      <c r="P257" s="22"/>
    </row>
    <row r="258" spans="11:16" s="1" customFormat="1" x14ac:dyDescent="0.25">
      <c r="K258" s="28"/>
      <c r="L258" s="28"/>
      <c r="N258" s="22"/>
      <c r="O258" s="22"/>
      <c r="P258" s="22"/>
    </row>
    <row r="259" spans="11:16" s="1" customFormat="1" x14ac:dyDescent="0.25">
      <c r="K259" s="28"/>
      <c r="L259" s="28"/>
      <c r="N259" s="22"/>
      <c r="O259" s="22"/>
      <c r="P259" s="22"/>
    </row>
    <row r="260" spans="11:16" s="1" customFormat="1" x14ac:dyDescent="0.25">
      <c r="K260" s="28"/>
      <c r="L260" s="28"/>
      <c r="N260" s="22"/>
      <c r="O260" s="22"/>
      <c r="P260" s="22"/>
    </row>
    <row r="261" spans="11:16" s="1" customFormat="1" x14ac:dyDescent="0.25">
      <c r="K261" s="28"/>
      <c r="L261" s="28"/>
      <c r="N261" s="22"/>
      <c r="O261" s="22"/>
      <c r="P261" s="22"/>
    </row>
    <row r="262" spans="11:16" s="1" customFormat="1" x14ac:dyDescent="0.25">
      <c r="K262" s="28"/>
      <c r="L262" s="28"/>
      <c r="N262" s="22"/>
      <c r="O262" s="22"/>
      <c r="P262" s="22"/>
    </row>
    <row r="263" spans="11:16" s="1" customFormat="1" x14ac:dyDescent="0.25">
      <c r="K263" s="28"/>
      <c r="L263" s="28"/>
      <c r="N263" s="22"/>
      <c r="O263" s="22"/>
      <c r="P263" s="22"/>
    </row>
    <row r="264" spans="11:16" s="1" customFormat="1" x14ac:dyDescent="0.25">
      <c r="K264" s="28"/>
      <c r="L264" s="28"/>
      <c r="N264" s="22"/>
      <c r="O264" s="22"/>
      <c r="P264" s="22"/>
    </row>
    <row r="265" spans="11:16" s="1" customFormat="1" x14ac:dyDescent="0.25">
      <c r="K265" s="28"/>
      <c r="L265" s="28"/>
      <c r="N265" s="22"/>
      <c r="O265" s="22"/>
      <c r="P265" s="22"/>
    </row>
    <row r="266" spans="11:16" s="1" customFormat="1" x14ac:dyDescent="0.25">
      <c r="K266" s="28"/>
      <c r="L266" s="28"/>
      <c r="N266" s="22"/>
      <c r="O266" s="22"/>
      <c r="P266" s="22"/>
    </row>
    <row r="267" spans="11:16" s="1" customFormat="1" x14ac:dyDescent="0.25">
      <c r="K267" s="28"/>
      <c r="L267" s="28"/>
      <c r="N267" s="22"/>
      <c r="O267" s="22"/>
      <c r="P267" s="22"/>
    </row>
    <row r="268" spans="11:16" s="1" customFormat="1" x14ac:dyDescent="0.25">
      <c r="K268" s="28"/>
      <c r="L268" s="28"/>
      <c r="N268" s="22"/>
      <c r="O268" s="22"/>
      <c r="P268" s="22"/>
    </row>
    <row r="269" spans="11:16" s="1" customFormat="1" x14ac:dyDescent="0.25">
      <c r="K269" s="28"/>
      <c r="L269" s="28"/>
      <c r="N269" s="22"/>
      <c r="O269" s="22"/>
      <c r="P269" s="22"/>
    </row>
    <row r="270" spans="11:16" s="1" customFormat="1" x14ac:dyDescent="0.25">
      <c r="K270" s="28"/>
      <c r="L270" s="28"/>
      <c r="N270" s="22"/>
      <c r="O270" s="22"/>
      <c r="P270" s="22"/>
    </row>
    <row r="271" spans="11:16" s="1" customFormat="1" x14ac:dyDescent="0.25">
      <c r="K271" s="28"/>
      <c r="L271" s="28"/>
      <c r="N271" s="22"/>
      <c r="O271" s="22"/>
      <c r="P271" s="22"/>
    </row>
    <row r="272" spans="11:16" s="1" customFormat="1" x14ac:dyDescent="0.25">
      <c r="K272" s="28"/>
      <c r="L272" s="28"/>
      <c r="N272" s="22"/>
      <c r="O272" s="22"/>
      <c r="P272" s="22"/>
    </row>
    <row r="273" spans="11:16" s="1" customFormat="1" x14ac:dyDescent="0.25">
      <c r="K273" s="28"/>
      <c r="L273" s="28"/>
      <c r="N273" s="22"/>
      <c r="O273" s="22"/>
      <c r="P273" s="22"/>
    </row>
    <row r="274" spans="11:16" s="1" customFormat="1" x14ac:dyDescent="0.25">
      <c r="K274" s="28"/>
      <c r="L274" s="28"/>
      <c r="N274" s="22"/>
      <c r="O274" s="22"/>
      <c r="P274" s="22"/>
    </row>
    <row r="275" spans="11:16" s="1" customFormat="1" x14ac:dyDescent="0.25">
      <c r="K275" s="28"/>
      <c r="L275" s="28"/>
      <c r="N275" s="22"/>
      <c r="O275" s="22"/>
      <c r="P275" s="22"/>
    </row>
    <row r="276" spans="11:16" s="1" customFormat="1" x14ac:dyDescent="0.25">
      <c r="K276" s="28"/>
      <c r="L276" s="28"/>
      <c r="N276" s="22"/>
      <c r="O276" s="22"/>
      <c r="P276" s="22"/>
    </row>
    <row r="277" spans="11:16" s="1" customFormat="1" x14ac:dyDescent="0.25">
      <c r="K277" s="28"/>
      <c r="L277" s="28"/>
      <c r="N277" s="22"/>
      <c r="O277" s="22"/>
      <c r="P277" s="22"/>
    </row>
    <row r="278" spans="11:16" s="1" customFormat="1" x14ac:dyDescent="0.25">
      <c r="K278" s="28"/>
      <c r="L278" s="28"/>
      <c r="N278" s="22"/>
      <c r="O278" s="22"/>
      <c r="P278" s="22"/>
    </row>
    <row r="279" spans="11:16" s="1" customFormat="1" x14ac:dyDescent="0.25">
      <c r="K279" s="28"/>
      <c r="L279" s="28"/>
      <c r="N279" s="22"/>
      <c r="O279" s="22"/>
      <c r="P279" s="22"/>
    </row>
    <row r="280" spans="11:16" s="1" customFormat="1" x14ac:dyDescent="0.25">
      <c r="K280" s="28"/>
      <c r="L280" s="28"/>
      <c r="N280" s="22"/>
      <c r="O280" s="22"/>
      <c r="P280" s="22"/>
    </row>
    <row r="281" spans="11:16" s="1" customFormat="1" x14ac:dyDescent="0.25">
      <c r="K281" s="28"/>
      <c r="L281" s="28"/>
      <c r="N281" s="22"/>
      <c r="O281" s="22"/>
      <c r="P281" s="22"/>
    </row>
    <row r="282" spans="11:16" s="1" customFormat="1" x14ac:dyDescent="0.25">
      <c r="K282" s="28"/>
      <c r="L282" s="28"/>
      <c r="N282" s="22"/>
      <c r="O282" s="22"/>
      <c r="P282" s="22"/>
    </row>
    <row r="283" spans="11:16" s="1" customFormat="1" x14ac:dyDescent="0.25">
      <c r="K283" s="28"/>
      <c r="L283" s="28"/>
      <c r="N283" s="22"/>
      <c r="O283" s="22"/>
      <c r="P283" s="22"/>
    </row>
    <row r="284" spans="11:16" s="1" customFormat="1" x14ac:dyDescent="0.25">
      <c r="K284" s="28"/>
      <c r="L284" s="28"/>
      <c r="N284" s="22"/>
      <c r="O284" s="22"/>
      <c r="P284" s="22"/>
    </row>
    <row r="285" spans="11:16" s="1" customFormat="1" x14ac:dyDescent="0.25">
      <c r="K285" s="28"/>
      <c r="L285" s="28"/>
      <c r="N285" s="22"/>
      <c r="O285" s="22"/>
      <c r="P285" s="22"/>
    </row>
    <row r="286" spans="11:16" s="1" customFormat="1" x14ac:dyDescent="0.25">
      <c r="K286" s="28"/>
      <c r="L286" s="28"/>
      <c r="N286" s="22"/>
      <c r="O286" s="22"/>
      <c r="P286" s="22"/>
    </row>
    <row r="287" spans="11:16" s="1" customFormat="1" x14ac:dyDescent="0.25">
      <c r="K287" s="28"/>
      <c r="L287" s="28"/>
      <c r="N287" s="22"/>
      <c r="O287" s="22"/>
      <c r="P287" s="22"/>
    </row>
    <row r="288" spans="11:16" s="1" customFormat="1" x14ac:dyDescent="0.25">
      <c r="K288" s="28"/>
      <c r="L288" s="28"/>
      <c r="N288" s="22"/>
      <c r="O288" s="22"/>
      <c r="P288" s="22"/>
    </row>
    <row r="289" spans="11:16" s="1" customFormat="1" x14ac:dyDescent="0.25">
      <c r="K289" s="28"/>
      <c r="L289" s="28"/>
      <c r="N289" s="22"/>
      <c r="O289" s="22"/>
      <c r="P289" s="22"/>
    </row>
    <row r="290" spans="11:16" s="1" customFormat="1" x14ac:dyDescent="0.25">
      <c r="K290" s="28"/>
      <c r="L290" s="28"/>
      <c r="N290" s="22"/>
      <c r="O290" s="22"/>
      <c r="P290" s="22"/>
    </row>
    <row r="291" spans="11:16" s="1" customFormat="1" x14ac:dyDescent="0.25">
      <c r="K291" s="28"/>
      <c r="L291" s="28"/>
      <c r="N291" s="22"/>
      <c r="O291" s="22"/>
      <c r="P291" s="22"/>
    </row>
    <row r="292" spans="11:16" s="1" customFormat="1" x14ac:dyDescent="0.25">
      <c r="K292" s="28"/>
      <c r="L292" s="28"/>
      <c r="N292" s="22"/>
      <c r="O292" s="22"/>
      <c r="P292" s="22"/>
    </row>
    <row r="293" spans="11:16" s="1" customFormat="1" x14ac:dyDescent="0.25">
      <c r="K293" s="28"/>
      <c r="L293" s="28"/>
      <c r="N293" s="22"/>
      <c r="O293" s="22"/>
      <c r="P293" s="22"/>
    </row>
    <row r="294" spans="11:16" s="1" customFormat="1" x14ac:dyDescent="0.25">
      <c r="K294" s="28"/>
      <c r="L294" s="28"/>
      <c r="N294" s="22"/>
      <c r="O294" s="22"/>
      <c r="P294" s="22"/>
    </row>
    <row r="295" spans="11:16" s="1" customFormat="1" x14ac:dyDescent="0.25">
      <c r="K295" s="28"/>
      <c r="L295" s="28"/>
      <c r="N295" s="22"/>
      <c r="O295" s="22"/>
      <c r="P295" s="22"/>
    </row>
    <row r="296" spans="11:16" s="1" customFormat="1" x14ac:dyDescent="0.25">
      <c r="K296" s="28"/>
      <c r="L296" s="28"/>
      <c r="N296" s="22"/>
      <c r="O296" s="22"/>
      <c r="P296" s="22"/>
    </row>
    <row r="297" spans="11:16" s="1" customFormat="1" x14ac:dyDescent="0.25">
      <c r="K297" s="28"/>
      <c r="L297" s="28"/>
      <c r="N297" s="22"/>
      <c r="O297" s="22"/>
      <c r="P297" s="22"/>
    </row>
    <row r="298" spans="11:16" s="1" customFormat="1" x14ac:dyDescent="0.25">
      <c r="K298" s="28"/>
      <c r="L298" s="28"/>
      <c r="N298" s="22"/>
      <c r="O298" s="22"/>
      <c r="P298" s="22"/>
    </row>
    <row r="299" spans="11:16" s="1" customFormat="1" x14ac:dyDescent="0.25">
      <c r="K299" s="28"/>
      <c r="L299" s="28"/>
      <c r="N299" s="22"/>
      <c r="O299" s="22"/>
      <c r="P299" s="22"/>
    </row>
    <row r="300" spans="11:16" s="1" customFormat="1" x14ac:dyDescent="0.25">
      <c r="K300" s="28"/>
      <c r="L300" s="28"/>
      <c r="N300" s="22"/>
      <c r="O300" s="22"/>
      <c r="P300" s="22"/>
    </row>
    <row r="301" spans="11:16" s="1" customFormat="1" x14ac:dyDescent="0.25">
      <c r="K301" s="28"/>
      <c r="L301" s="28"/>
      <c r="N301" s="22"/>
      <c r="O301" s="22"/>
      <c r="P301" s="22"/>
    </row>
    <row r="302" spans="11:16" s="1" customFormat="1" x14ac:dyDescent="0.25">
      <c r="K302" s="28"/>
      <c r="L302" s="28"/>
      <c r="N302" s="22"/>
      <c r="O302" s="22"/>
      <c r="P302" s="22"/>
    </row>
    <row r="303" spans="11:16" s="1" customFormat="1" x14ac:dyDescent="0.25">
      <c r="K303" s="28"/>
      <c r="L303" s="28"/>
      <c r="N303" s="22"/>
      <c r="O303" s="22"/>
      <c r="P303" s="22"/>
    </row>
    <row r="304" spans="11:16" s="1" customFormat="1" x14ac:dyDescent="0.25">
      <c r="K304" s="28"/>
      <c r="L304" s="28"/>
      <c r="N304" s="22"/>
      <c r="O304" s="22"/>
      <c r="P304" s="22"/>
    </row>
    <row r="305" spans="11:16" s="1" customFormat="1" x14ac:dyDescent="0.25">
      <c r="K305" s="28"/>
      <c r="L305" s="28"/>
      <c r="N305" s="22"/>
      <c r="O305" s="22"/>
      <c r="P305" s="22"/>
    </row>
    <row r="306" spans="11:16" s="1" customFormat="1" x14ac:dyDescent="0.25">
      <c r="K306" s="28"/>
      <c r="L306" s="28"/>
      <c r="N306" s="22"/>
      <c r="O306" s="22"/>
      <c r="P306" s="22"/>
    </row>
    <row r="307" spans="11:16" s="1" customFormat="1" x14ac:dyDescent="0.25">
      <c r="K307" s="28"/>
      <c r="L307" s="28"/>
      <c r="N307" s="22"/>
      <c r="O307" s="22"/>
      <c r="P307" s="22"/>
    </row>
    <row r="308" spans="11:16" s="1" customFormat="1" x14ac:dyDescent="0.25">
      <c r="K308" s="28"/>
      <c r="L308" s="28"/>
      <c r="N308" s="22"/>
      <c r="O308" s="22"/>
      <c r="P308" s="22"/>
    </row>
    <row r="309" spans="11:16" s="1" customFormat="1" x14ac:dyDescent="0.25">
      <c r="K309" s="28"/>
      <c r="L309" s="28"/>
      <c r="N309" s="22"/>
      <c r="O309" s="22"/>
      <c r="P309" s="22"/>
    </row>
    <row r="310" spans="11:16" s="1" customFormat="1" x14ac:dyDescent="0.25">
      <c r="K310" s="28"/>
      <c r="L310" s="28"/>
      <c r="N310" s="22"/>
      <c r="O310" s="22"/>
      <c r="P310" s="22"/>
    </row>
    <row r="311" spans="11:16" s="1" customFormat="1" x14ac:dyDescent="0.25">
      <c r="K311" s="28"/>
      <c r="L311" s="28"/>
      <c r="N311" s="22"/>
      <c r="O311" s="22"/>
      <c r="P311" s="22"/>
    </row>
    <row r="312" spans="11:16" s="1" customFormat="1" x14ac:dyDescent="0.25">
      <c r="K312" s="28"/>
      <c r="L312" s="28"/>
      <c r="N312" s="22"/>
      <c r="O312" s="22"/>
      <c r="P312" s="22"/>
    </row>
    <row r="313" spans="11:16" s="1" customFormat="1" x14ac:dyDescent="0.25">
      <c r="K313" s="28"/>
      <c r="L313" s="28"/>
      <c r="N313" s="22"/>
      <c r="O313" s="22"/>
      <c r="P313" s="22"/>
    </row>
    <row r="314" spans="11:16" s="1" customFormat="1" x14ac:dyDescent="0.25">
      <c r="K314" s="28"/>
      <c r="L314" s="28"/>
      <c r="N314" s="22"/>
      <c r="O314" s="22"/>
      <c r="P314" s="22"/>
    </row>
    <row r="315" spans="11:16" s="1" customFormat="1" x14ac:dyDescent="0.25">
      <c r="K315" s="28"/>
      <c r="L315" s="28"/>
      <c r="N315" s="22"/>
      <c r="O315" s="22"/>
      <c r="P315" s="22"/>
    </row>
    <row r="316" spans="11:16" s="1" customFormat="1" x14ac:dyDescent="0.25">
      <c r="K316" s="28"/>
      <c r="L316" s="28"/>
      <c r="N316" s="22"/>
      <c r="O316" s="22"/>
      <c r="P316" s="22"/>
    </row>
    <row r="317" spans="11:16" s="1" customFormat="1" x14ac:dyDescent="0.25">
      <c r="K317" s="28"/>
      <c r="L317" s="28"/>
      <c r="N317" s="22"/>
      <c r="O317" s="22"/>
      <c r="P317" s="22"/>
    </row>
    <row r="318" spans="11:16" s="1" customFormat="1" x14ac:dyDescent="0.25">
      <c r="K318" s="28"/>
      <c r="L318" s="28"/>
      <c r="N318" s="22"/>
      <c r="O318" s="22"/>
      <c r="P318" s="22"/>
    </row>
    <row r="319" spans="11:16" s="1" customFormat="1" x14ac:dyDescent="0.25">
      <c r="K319" s="28"/>
      <c r="L319" s="28"/>
      <c r="N319" s="22"/>
      <c r="O319" s="22"/>
      <c r="P319" s="22"/>
    </row>
    <row r="320" spans="11:16" s="1" customFormat="1" x14ac:dyDescent="0.25">
      <c r="K320" s="28"/>
      <c r="L320" s="28"/>
      <c r="N320" s="22"/>
      <c r="O320" s="22"/>
      <c r="P320" s="22"/>
    </row>
    <row r="321" spans="11:16" s="1" customFormat="1" x14ac:dyDescent="0.25">
      <c r="K321" s="28"/>
      <c r="L321" s="28"/>
      <c r="N321" s="22"/>
      <c r="O321" s="22"/>
      <c r="P321" s="22"/>
    </row>
    <row r="322" spans="11:16" s="1" customFormat="1" x14ac:dyDescent="0.25">
      <c r="K322" s="28"/>
      <c r="L322" s="28"/>
      <c r="N322" s="22"/>
      <c r="O322" s="22"/>
      <c r="P322" s="22"/>
    </row>
    <row r="323" spans="11:16" s="1" customFormat="1" x14ac:dyDescent="0.25">
      <c r="K323" s="28"/>
      <c r="L323" s="28"/>
      <c r="N323" s="22"/>
      <c r="O323" s="22"/>
      <c r="P323" s="22"/>
    </row>
    <row r="324" spans="11:16" s="1" customFormat="1" x14ac:dyDescent="0.25">
      <c r="K324" s="28"/>
      <c r="L324" s="28"/>
      <c r="N324" s="22"/>
      <c r="O324" s="22"/>
      <c r="P324" s="22"/>
    </row>
    <row r="325" spans="11:16" s="1" customFormat="1" x14ac:dyDescent="0.25">
      <c r="K325" s="28"/>
      <c r="L325" s="28"/>
      <c r="N325" s="22"/>
      <c r="O325" s="22"/>
      <c r="P325" s="22"/>
    </row>
    <row r="326" spans="11:16" s="1" customFormat="1" x14ac:dyDescent="0.25">
      <c r="K326" s="28"/>
      <c r="L326" s="28"/>
      <c r="N326" s="22"/>
      <c r="O326" s="22"/>
      <c r="P326" s="22"/>
    </row>
    <row r="327" spans="11:16" s="1" customFormat="1" x14ac:dyDescent="0.25">
      <c r="K327" s="28"/>
      <c r="L327" s="28"/>
      <c r="N327" s="22"/>
      <c r="O327" s="22"/>
      <c r="P327" s="22"/>
    </row>
    <row r="328" spans="11:16" s="1" customFormat="1" x14ac:dyDescent="0.25">
      <c r="K328" s="28"/>
      <c r="L328" s="28"/>
      <c r="N328" s="22"/>
      <c r="O328" s="22"/>
      <c r="P328" s="22"/>
    </row>
    <row r="329" spans="11:16" s="1" customFormat="1" x14ac:dyDescent="0.25">
      <c r="K329" s="28"/>
      <c r="L329" s="28"/>
      <c r="N329" s="22"/>
      <c r="O329" s="22"/>
      <c r="P329" s="22"/>
    </row>
    <row r="330" spans="11:16" s="1" customFormat="1" x14ac:dyDescent="0.25">
      <c r="K330" s="28"/>
      <c r="L330" s="28"/>
      <c r="N330" s="22"/>
      <c r="O330" s="22"/>
      <c r="P330" s="22"/>
    </row>
    <row r="331" spans="11:16" s="1" customFormat="1" x14ac:dyDescent="0.25">
      <c r="K331" s="28"/>
      <c r="L331" s="28"/>
      <c r="N331" s="22"/>
      <c r="O331" s="22"/>
      <c r="P331" s="22"/>
    </row>
    <row r="332" spans="11:16" s="1" customFormat="1" x14ac:dyDescent="0.25">
      <c r="K332" s="28"/>
      <c r="L332" s="28"/>
      <c r="N332" s="22"/>
      <c r="O332" s="22"/>
      <c r="P332" s="22"/>
    </row>
    <row r="333" spans="11:16" s="1" customFormat="1" x14ac:dyDescent="0.25">
      <c r="K333" s="28"/>
      <c r="L333" s="28"/>
      <c r="N333" s="22"/>
      <c r="O333" s="22"/>
      <c r="P333" s="22"/>
    </row>
    <row r="334" spans="11:16" s="1" customFormat="1" x14ac:dyDescent="0.25">
      <c r="K334" s="28"/>
      <c r="L334" s="28"/>
      <c r="N334" s="22"/>
      <c r="O334" s="22"/>
      <c r="P334" s="22"/>
    </row>
    <row r="335" spans="11:16" s="1" customFormat="1" x14ac:dyDescent="0.25">
      <c r="K335" s="28"/>
      <c r="L335" s="28"/>
      <c r="N335" s="22"/>
      <c r="O335" s="22"/>
      <c r="P335" s="22"/>
    </row>
    <row r="336" spans="11:16" s="1" customFormat="1" x14ac:dyDescent="0.25">
      <c r="K336" s="28"/>
      <c r="L336" s="28"/>
      <c r="N336" s="22"/>
      <c r="O336" s="22"/>
      <c r="P336" s="22"/>
    </row>
    <row r="337" spans="11:16" s="1" customFormat="1" x14ac:dyDescent="0.25">
      <c r="K337" s="28"/>
      <c r="L337" s="28"/>
      <c r="N337" s="22"/>
      <c r="O337" s="22"/>
      <c r="P337" s="22"/>
    </row>
    <row r="338" spans="11:16" s="1" customFormat="1" x14ac:dyDescent="0.25">
      <c r="K338" s="28"/>
      <c r="L338" s="28"/>
      <c r="N338" s="22"/>
      <c r="O338" s="22"/>
      <c r="P338" s="22"/>
    </row>
    <row r="339" spans="11:16" s="1" customFormat="1" x14ac:dyDescent="0.25">
      <c r="K339" s="28"/>
      <c r="L339" s="28"/>
      <c r="N339" s="22"/>
      <c r="O339" s="22"/>
      <c r="P339" s="22"/>
    </row>
    <row r="340" spans="11:16" s="1" customFormat="1" x14ac:dyDescent="0.25">
      <c r="K340" s="28"/>
      <c r="L340" s="28"/>
      <c r="N340" s="22"/>
      <c r="O340" s="22"/>
      <c r="P340" s="22"/>
    </row>
    <row r="341" spans="11:16" s="1" customFormat="1" x14ac:dyDescent="0.25">
      <c r="K341" s="28"/>
      <c r="L341" s="28"/>
      <c r="N341" s="22"/>
      <c r="O341" s="22"/>
      <c r="P341" s="22"/>
    </row>
    <row r="342" spans="11:16" s="1" customFormat="1" x14ac:dyDescent="0.25">
      <c r="K342" s="28"/>
      <c r="L342" s="28"/>
      <c r="N342" s="22"/>
      <c r="O342" s="22"/>
      <c r="P342" s="22"/>
    </row>
    <row r="343" spans="11:16" s="1" customFormat="1" x14ac:dyDescent="0.25">
      <c r="K343" s="28"/>
      <c r="L343" s="28"/>
      <c r="N343" s="22"/>
      <c r="O343" s="22"/>
      <c r="P343" s="22"/>
    </row>
    <row r="344" spans="11:16" s="1" customFormat="1" x14ac:dyDescent="0.25">
      <c r="K344" s="28"/>
      <c r="L344" s="28"/>
      <c r="N344" s="22"/>
      <c r="O344" s="22"/>
      <c r="P344" s="22"/>
    </row>
    <row r="345" spans="11:16" s="1" customFormat="1" x14ac:dyDescent="0.25">
      <c r="K345" s="28"/>
      <c r="L345" s="28"/>
      <c r="N345" s="22"/>
      <c r="O345" s="22"/>
      <c r="P345" s="22"/>
    </row>
    <row r="346" spans="11:16" s="1" customFormat="1" x14ac:dyDescent="0.25">
      <c r="K346" s="28"/>
      <c r="L346" s="28"/>
      <c r="N346" s="22"/>
      <c r="O346" s="22"/>
      <c r="P346" s="22"/>
    </row>
    <row r="347" spans="11:16" s="1" customFormat="1" x14ac:dyDescent="0.25">
      <c r="K347" s="28"/>
      <c r="L347" s="28"/>
      <c r="N347" s="22"/>
      <c r="O347" s="22"/>
      <c r="P347" s="22"/>
    </row>
    <row r="348" spans="11:16" s="1" customFormat="1" x14ac:dyDescent="0.25">
      <c r="K348" s="28"/>
      <c r="L348" s="28"/>
      <c r="N348" s="22"/>
      <c r="O348" s="22"/>
      <c r="P348" s="22"/>
    </row>
    <row r="349" spans="11:16" s="1" customFormat="1" x14ac:dyDescent="0.25">
      <c r="K349" s="28"/>
      <c r="L349" s="28"/>
      <c r="N349" s="22"/>
      <c r="O349" s="22"/>
      <c r="P349" s="22"/>
    </row>
    <row r="350" spans="11:16" s="1" customFormat="1" x14ac:dyDescent="0.25">
      <c r="K350" s="28"/>
      <c r="L350" s="28"/>
      <c r="N350" s="22"/>
      <c r="O350" s="22"/>
      <c r="P350" s="22"/>
    </row>
    <row r="351" spans="11:16" s="1" customFormat="1" x14ac:dyDescent="0.25">
      <c r="K351" s="28"/>
      <c r="L351" s="28"/>
      <c r="N351" s="22"/>
      <c r="O351" s="22"/>
      <c r="P351" s="22"/>
    </row>
    <row r="352" spans="11:16" s="1" customFormat="1" x14ac:dyDescent="0.25">
      <c r="K352" s="28"/>
      <c r="L352" s="28"/>
      <c r="N352" s="22"/>
      <c r="O352" s="22"/>
      <c r="P352" s="22"/>
    </row>
    <row r="353" spans="11:16" s="1" customFormat="1" x14ac:dyDescent="0.25">
      <c r="K353" s="28"/>
      <c r="L353" s="28"/>
      <c r="N353" s="22"/>
      <c r="O353" s="22"/>
      <c r="P353" s="22"/>
    </row>
    <row r="354" spans="11:16" s="1" customFormat="1" x14ac:dyDescent="0.25">
      <c r="K354" s="28"/>
      <c r="L354" s="28"/>
      <c r="N354" s="22"/>
      <c r="O354" s="22"/>
      <c r="P354" s="22"/>
    </row>
    <row r="355" spans="11:16" s="1" customFormat="1" x14ac:dyDescent="0.25">
      <c r="K355" s="28"/>
      <c r="L355" s="28"/>
      <c r="N355" s="22"/>
      <c r="O355" s="22"/>
      <c r="P355" s="22"/>
    </row>
    <row r="356" spans="11:16" s="1" customFormat="1" x14ac:dyDescent="0.25">
      <c r="K356" s="28"/>
      <c r="L356" s="28"/>
      <c r="N356" s="22"/>
      <c r="O356" s="22"/>
      <c r="P356" s="22"/>
    </row>
    <row r="357" spans="11:16" s="1" customFormat="1" x14ac:dyDescent="0.25">
      <c r="K357" s="28"/>
      <c r="L357" s="28"/>
      <c r="N357" s="22"/>
      <c r="O357" s="22"/>
      <c r="P357" s="22"/>
    </row>
    <row r="358" spans="11:16" s="1" customFormat="1" x14ac:dyDescent="0.25">
      <c r="K358" s="28"/>
      <c r="L358" s="28"/>
      <c r="N358" s="22"/>
      <c r="O358" s="22"/>
      <c r="P358" s="22"/>
    </row>
    <row r="359" spans="11:16" s="1" customFormat="1" x14ac:dyDescent="0.25">
      <c r="K359" s="28"/>
      <c r="L359" s="28"/>
      <c r="N359" s="22"/>
      <c r="O359" s="22"/>
      <c r="P359" s="22"/>
    </row>
    <row r="360" spans="11:16" s="1" customFormat="1" x14ac:dyDescent="0.25">
      <c r="K360" s="28"/>
      <c r="L360" s="28"/>
      <c r="N360" s="22"/>
      <c r="O360" s="22"/>
      <c r="P360" s="22"/>
    </row>
    <row r="361" spans="11:16" s="1" customFormat="1" x14ac:dyDescent="0.25">
      <c r="K361" s="28"/>
      <c r="L361" s="28"/>
      <c r="N361" s="22"/>
      <c r="O361" s="22"/>
      <c r="P361" s="22"/>
    </row>
    <row r="362" spans="11:16" s="1" customFormat="1" x14ac:dyDescent="0.25">
      <c r="K362" s="28"/>
      <c r="L362" s="28"/>
      <c r="N362" s="22"/>
      <c r="O362" s="22"/>
      <c r="P362" s="22"/>
    </row>
    <row r="363" spans="11:16" s="1" customFormat="1" x14ac:dyDescent="0.25">
      <c r="K363" s="28"/>
      <c r="L363" s="28"/>
      <c r="N363" s="22"/>
      <c r="O363" s="22"/>
      <c r="P363" s="22"/>
    </row>
    <row r="364" spans="11:16" s="1" customFormat="1" x14ac:dyDescent="0.25">
      <c r="K364" s="28"/>
      <c r="L364" s="28"/>
      <c r="N364" s="22"/>
      <c r="O364" s="22"/>
      <c r="P364" s="22"/>
    </row>
    <row r="365" spans="11:16" s="1" customFormat="1" x14ac:dyDescent="0.25">
      <c r="K365" s="28"/>
      <c r="L365" s="28"/>
      <c r="N365" s="22"/>
      <c r="O365" s="22"/>
      <c r="P365" s="22"/>
    </row>
    <row r="366" spans="11:16" s="1" customFormat="1" x14ac:dyDescent="0.25">
      <c r="K366" s="28"/>
      <c r="L366" s="28"/>
      <c r="N366" s="22"/>
      <c r="O366" s="22"/>
      <c r="P366" s="22"/>
    </row>
    <row r="367" spans="11:16" s="1" customFormat="1" x14ac:dyDescent="0.25">
      <c r="K367" s="28"/>
      <c r="L367" s="28"/>
      <c r="N367" s="22"/>
      <c r="O367" s="22"/>
      <c r="P367" s="22"/>
    </row>
    <row r="368" spans="11:16" s="1" customFormat="1" x14ac:dyDescent="0.25">
      <c r="K368" s="28"/>
      <c r="L368" s="28"/>
      <c r="N368" s="22"/>
      <c r="O368" s="22"/>
      <c r="P368" s="22"/>
    </row>
    <row r="369" spans="11:16" s="1" customFormat="1" x14ac:dyDescent="0.25">
      <c r="K369" s="28"/>
      <c r="L369" s="28"/>
      <c r="N369" s="22"/>
      <c r="O369" s="22"/>
      <c r="P369" s="22"/>
    </row>
    <row r="370" spans="11:16" s="1" customFormat="1" x14ac:dyDescent="0.25">
      <c r="K370" s="28"/>
      <c r="L370" s="28"/>
      <c r="N370" s="22"/>
      <c r="O370" s="22"/>
      <c r="P370" s="22"/>
    </row>
    <row r="371" spans="11:16" s="1" customFormat="1" x14ac:dyDescent="0.25">
      <c r="K371" s="28"/>
      <c r="L371" s="28"/>
      <c r="N371" s="22"/>
      <c r="O371" s="22"/>
      <c r="P371" s="22"/>
    </row>
    <row r="372" spans="11:16" s="1" customFormat="1" x14ac:dyDescent="0.25">
      <c r="K372" s="28"/>
      <c r="L372" s="28"/>
      <c r="N372" s="22"/>
      <c r="O372" s="22"/>
      <c r="P372" s="22"/>
    </row>
    <row r="373" spans="11:16" s="1" customFormat="1" x14ac:dyDescent="0.25">
      <c r="K373" s="28"/>
      <c r="L373" s="28"/>
      <c r="N373" s="22"/>
      <c r="O373" s="22"/>
      <c r="P373" s="22"/>
    </row>
    <row r="374" spans="11:16" s="1" customFormat="1" x14ac:dyDescent="0.25">
      <c r="K374" s="28"/>
      <c r="L374" s="28"/>
      <c r="N374" s="22"/>
      <c r="O374" s="22"/>
      <c r="P374" s="22"/>
    </row>
    <row r="375" spans="11:16" s="1" customFormat="1" x14ac:dyDescent="0.25">
      <c r="K375" s="28"/>
      <c r="L375" s="28"/>
      <c r="N375" s="22"/>
      <c r="O375" s="22"/>
      <c r="P375" s="22"/>
    </row>
    <row r="376" spans="11:16" s="1" customFormat="1" x14ac:dyDescent="0.25">
      <c r="K376" s="28"/>
      <c r="L376" s="28"/>
      <c r="N376" s="22"/>
      <c r="O376" s="22"/>
      <c r="P376" s="22"/>
    </row>
    <row r="377" spans="11:16" s="1" customFormat="1" x14ac:dyDescent="0.25">
      <c r="K377" s="28"/>
      <c r="L377" s="28"/>
      <c r="N377" s="22"/>
      <c r="O377" s="22"/>
      <c r="P377" s="22"/>
    </row>
    <row r="378" spans="11:16" s="1" customFormat="1" x14ac:dyDescent="0.25">
      <c r="K378" s="28"/>
      <c r="L378" s="28"/>
      <c r="N378" s="22"/>
      <c r="O378" s="22"/>
      <c r="P378" s="22"/>
    </row>
    <row r="379" spans="11:16" s="1" customFormat="1" x14ac:dyDescent="0.25">
      <c r="K379" s="28"/>
      <c r="L379" s="28"/>
      <c r="N379" s="22"/>
      <c r="O379" s="22"/>
      <c r="P379" s="22"/>
    </row>
    <row r="380" spans="11:16" s="1" customFormat="1" x14ac:dyDescent="0.25">
      <c r="K380" s="28"/>
      <c r="L380" s="28"/>
      <c r="N380" s="22"/>
      <c r="O380" s="22"/>
      <c r="P380" s="22"/>
    </row>
    <row r="381" spans="11:16" s="1" customFormat="1" x14ac:dyDescent="0.25">
      <c r="K381" s="28"/>
      <c r="L381" s="28"/>
      <c r="N381" s="22"/>
      <c r="O381" s="22"/>
      <c r="P381" s="22"/>
    </row>
    <row r="382" spans="11:16" s="1" customFormat="1" x14ac:dyDescent="0.25">
      <c r="K382" s="28"/>
      <c r="L382" s="28"/>
      <c r="N382" s="22"/>
      <c r="O382" s="22"/>
      <c r="P382" s="22"/>
    </row>
    <row r="383" spans="11:16" s="1" customFormat="1" x14ac:dyDescent="0.25">
      <c r="K383" s="28"/>
      <c r="L383" s="28"/>
      <c r="N383" s="22"/>
      <c r="O383" s="22"/>
      <c r="P383" s="22"/>
    </row>
    <row r="384" spans="11:16" s="1" customFormat="1" x14ac:dyDescent="0.25">
      <c r="K384" s="28"/>
      <c r="L384" s="28"/>
      <c r="N384" s="22"/>
      <c r="O384" s="22"/>
      <c r="P384" s="22"/>
    </row>
    <row r="385" spans="11:16" s="1" customFormat="1" x14ac:dyDescent="0.25">
      <c r="K385" s="28"/>
      <c r="L385" s="28"/>
      <c r="N385" s="22"/>
      <c r="O385" s="22"/>
      <c r="P385" s="22"/>
    </row>
    <row r="386" spans="11:16" s="1" customFormat="1" x14ac:dyDescent="0.25">
      <c r="K386" s="28"/>
      <c r="L386" s="28"/>
      <c r="N386" s="22"/>
      <c r="O386" s="22"/>
      <c r="P386" s="22"/>
    </row>
    <row r="387" spans="11:16" s="1" customFormat="1" x14ac:dyDescent="0.25">
      <c r="K387" s="28"/>
      <c r="L387" s="28"/>
      <c r="N387" s="22"/>
      <c r="O387" s="22"/>
      <c r="P387" s="22"/>
    </row>
    <row r="388" spans="11:16" s="1" customFormat="1" x14ac:dyDescent="0.25">
      <c r="K388" s="28"/>
      <c r="L388" s="28"/>
      <c r="N388" s="22"/>
      <c r="O388" s="22"/>
      <c r="P388" s="22"/>
    </row>
    <row r="389" spans="11:16" s="1" customFormat="1" x14ac:dyDescent="0.25">
      <c r="K389" s="28"/>
      <c r="L389" s="28"/>
      <c r="N389" s="22"/>
      <c r="O389" s="22"/>
      <c r="P389" s="22"/>
    </row>
    <row r="390" spans="11:16" s="1" customFormat="1" x14ac:dyDescent="0.25">
      <c r="K390" s="28"/>
      <c r="L390" s="28"/>
      <c r="N390" s="22"/>
      <c r="O390" s="22"/>
      <c r="P390" s="22"/>
    </row>
    <row r="391" spans="11:16" s="1" customFormat="1" x14ac:dyDescent="0.25">
      <c r="K391" s="28"/>
      <c r="L391" s="28"/>
      <c r="N391" s="22"/>
      <c r="O391" s="22"/>
      <c r="P391" s="22"/>
    </row>
    <row r="392" spans="11:16" s="1" customFormat="1" x14ac:dyDescent="0.25">
      <c r="K392" s="28"/>
      <c r="L392" s="28"/>
      <c r="N392" s="22"/>
      <c r="O392" s="22"/>
      <c r="P392" s="22"/>
    </row>
    <row r="393" spans="11:16" s="1" customFormat="1" x14ac:dyDescent="0.25">
      <c r="K393" s="28"/>
      <c r="L393" s="28"/>
      <c r="N393" s="22"/>
      <c r="O393" s="22"/>
      <c r="P393" s="22"/>
    </row>
    <row r="394" spans="11:16" s="1" customFormat="1" x14ac:dyDescent="0.25">
      <c r="K394" s="28"/>
      <c r="L394" s="28"/>
      <c r="N394" s="22"/>
      <c r="O394" s="22"/>
      <c r="P394" s="22"/>
    </row>
    <row r="395" spans="11:16" s="1" customFormat="1" x14ac:dyDescent="0.25">
      <c r="K395" s="28"/>
      <c r="L395" s="28"/>
      <c r="N395" s="22"/>
      <c r="O395" s="22"/>
      <c r="P395" s="22"/>
    </row>
    <row r="396" spans="11:16" s="1" customFormat="1" x14ac:dyDescent="0.25">
      <c r="K396" s="28"/>
      <c r="L396" s="28"/>
      <c r="N396" s="22"/>
      <c r="O396" s="22"/>
      <c r="P396" s="22"/>
    </row>
    <row r="397" spans="11:16" s="1" customFormat="1" x14ac:dyDescent="0.25">
      <c r="K397" s="28"/>
      <c r="L397" s="28"/>
      <c r="N397" s="22"/>
      <c r="O397" s="22"/>
      <c r="P397" s="22"/>
    </row>
    <row r="398" spans="11:16" s="1" customFormat="1" x14ac:dyDescent="0.25">
      <c r="K398" s="28"/>
      <c r="L398" s="28"/>
      <c r="N398" s="22"/>
      <c r="O398" s="22"/>
      <c r="P398" s="22"/>
    </row>
    <row r="399" spans="11:16" s="1" customFormat="1" x14ac:dyDescent="0.25">
      <c r="K399" s="28"/>
      <c r="L399" s="28"/>
      <c r="N399" s="22"/>
      <c r="O399" s="22"/>
      <c r="P399" s="22"/>
    </row>
    <row r="400" spans="11:16" s="1" customFormat="1" x14ac:dyDescent="0.25">
      <c r="K400" s="28"/>
      <c r="L400" s="28"/>
      <c r="N400" s="22"/>
      <c r="O400" s="22"/>
      <c r="P400" s="22"/>
    </row>
    <row r="401" spans="11:16" s="1" customFormat="1" x14ac:dyDescent="0.25">
      <c r="K401" s="28"/>
      <c r="L401" s="28"/>
      <c r="N401" s="22"/>
      <c r="O401" s="22"/>
      <c r="P401" s="22"/>
    </row>
    <row r="402" spans="11:16" s="1" customFormat="1" x14ac:dyDescent="0.25">
      <c r="K402" s="28"/>
      <c r="L402" s="28"/>
      <c r="N402" s="22"/>
      <c r="O402" s="22"/>
      <c r="P402" s="22"/>
    </row>
    <row r="403" spans="11:16" s="1" customFormat="1" x14ac:dyDescent="0.25">
      <c r="K403" s="28"/>
      <c r="L403" s="28"/>
      <c r="N403" s="22"/>
      <c r="O403" s="22"/>
      <c r="P403" s="22"/>
    </row>
    <row r="404" spans="11:16" s="1" customFormat="1" x14ac:dyDescent="0.25">
      <c r="K404" s="28"/>
      <c r="L404" s="28"/>
      <c r="N404" s="22"/>
      <c r="O404" s="22"/>
      <c r="P404" s="22"/>
    </row>
    <row r="405" spans="11:16" s="1" customFormat="1" x14ac:dyDescent="0.25">
      <c r="K405" s="28"/>
      <c r="L405" s="28"/>
      <c r="N405" s="22"/>
      <c r="O405" s="22"/>
      <c r="P405" s="22"/>
    </row>
    <row r="406" spans="11:16" s="1" customFormat="1" x14ac:dyDescent="0.25">
      <c r="K406" s="28"/>
      <c r="L406" s="28"/>
      <c r="N406" s="22"/>
      <c r="O406" s="22"/>
      <c r="P406" s="22"/>
    </row>
    <row r="407" spans="11:16" s="1" customFormat="1" x14ac:dyDescent="0.25">
      <c r="K407" s="28"/>
      <c r="L407" s="28"/>
      <c r="N407" s="22"/>
      <c r="O407" s="22"/>
      <c r="P407" s="22"/>
    </row>
    <row r="408" spans="11:16" s="1" customFormat="1" x14ac:dyDescent="0.25">
      <c r="K408" s="28"/>
      <c r="L408" s="28"/>
      <c r="N408" s="22"/>
      <c r="O408" s="22"/>
      <c r="P408" s="22"/>
    </row>
    <row r="409" spans="11:16" s="1" customFormat="1" x14ac:dyDescent="0.25">
      <c r="K409" s="28"/>
      <c r="L409" s="28"/>
      <c r="N409" s="22"/>
      <c r="O409" s="22"/>
      <c r="P409" s="22"/>
    </row>
    <row r="410" spans="11:16" s="1" customFormat="1" x14ac:dyDescent="0.25">
      <c r="K410" s="28"/>
      <c r="L410" s="28"/>
      <c r="N410" s="22"/>
      <c r="O410" s="22"/>
      <c r="P410" s="22"/>
    </row>
    <row r="411" spans="11:16" s="1" customFormat="1" x14ac:dyDescent="0.25">
      <c r="K411" s="28"/>
      <c r="L411" s="28"/>
      <c r="N411" s="22"/>
      <c r="O411" s="22"/>
      <c r="P411" s="22"/>
    </row>
    <row r="412" spans="11:16" s="1" customFormat="1" x14ac:dyDescent="0.25">
      <c r="K412" s="28"/>
      <c r="L412" s="28"/>
      <c r="N412" s="22"/>
      <c r="O412" s="22"/>
      <c r="P412" s="22"/>
    </row>
    <row r="413" spans="11:16" s="1" customFormat="1" x14ac:dyDescent="0.25">
      <c r="K413" s="28"/>
      <c r="L413" s="28"/>
      <c r="N413" s="22"/>
      <c r="O413" s="22"/>
      <c r="P413" s="22"/>
    </row>
    <row r="414" spans="11:16" s="1" customFormat="1" x14ac:dyDescent="0.25">
      <c r="K414" s="28"/>
      <c r="L414" s="28"/>
      <c r="N414" s="22"/>
      <c r="O414" s="22"/>
      <c r="P414" s="22"/>
    </row>
    <row r="415" spans="11:16" s="1" customFormat="1" x14ac:dyDescent="0.25">
      <c r="K415" s="28"/>
      <c r="L415" s="28"/>
      <c r="N415" s="22"/>
      <c r="O415" s="22"/>
      <c r="P415" s="22"/>
    </row>
    <row r="416" spans="11:16" s="1" customFormat="1" x14ac:dyDescent="0.25">
      <c r="K416" s="28"/>
      <c r="L416" s="28"/>
      <c r="N416" s="22"/>
      <c r="O416" s="22"/>
      <c r="P416" s="22"/>
    </row>
    <row r="417" spans="11:16" s="1" customFormat="1" x14ac:dyDescent="0.25">
      <c r="K417" s="28"/>
      <c r="L417" s="28"/>
      <c r="N417" s="22"/>
      <c r="O417" s="22"/>
      <c r="P417" s="22"/>
    </row>
    <row r="418" spans="11:16" s="1" customFormat="1" x14ac:dyDescent="0.25">
      <c r="K418" s="28"/>
      <c r="L418" s="28"/>
      <c r="N418" s="22"/>
      <c r="O418" s="22"/>
      <c r="P418" s="22"/>
    </row>
    <row r="419" spans="11:16" s="1" customFormat="1" x14ac:dyDescent="0.25">
      <c r="K419" s="28"/>
      <c r="L419" s="28"/>
      <c r="N419" s="22"/>
      <c r="O419" s="22"/>
      <c r="P419" s="22"/>
    </row>
    <row r="420" spans="11:16" s="1" customFormat="1" x14ac:dyDescent="0.25">
      <c r="K420" s="28"/>
      <c r="L420" s="28"/>
      <c r="N420" s="22"/>
      <c r="O420" s="22"/>
      <c r="P420" s="22"/>
    </row>
    <row r="421" spans="11:16" s="1" customFormat="1" x14ac:dyDescent="0.25">
      <c r="K421" s="28"/>
      <c r="L421" s="28"/>
      <c r="N421" s="22"/>
      <c r="O421" s="22"/>
      <c r="P421" s="22"/>
    </row>
    <row r="422" spans="11:16" s="1" customFormat="1" x14ac:dyDescent="0.25">
      <c r="K422" s="28"/>
      <c r="L422" s="28"/>
      <c r="N422" s="22"/>
      <c r="O422" s="22"/>
      <c r="P422" s="22"/>
    </row>
    <row r="423" spans="11:16" s="1" customFormat="1" x14ac:dyDescent="0.25">
      <c r="K423" s="28"/>
      <c r="L423" s="28"/>
      <c r="N423" s="22"/>
      <c r="O423" s="22"/>
      <c r="P423" s="22"/>
    </row>
    <row r="424" spans="11:16" s="1" customFormat="1" x14ac:dyDescent="0.25">
      <c r="K424" s="28"/>
      <c r="L424" s="28"/>
      <c r="N424" s="22"/>
      <c r="O424" s="22"/>
      <c r="P424" s="22"/>
    </row>
    <row r="425" spans="11:16" s="1" customFormat="1" x14ac:dyDescent="0.25">
      <c r="K425" s="28"/>
      <c r="L425" s="28"/>
      <c r="N425" s="22"/>
      <c r="O425" s="22"/>
      <c r="P425" s="22"/>
    </row>
    <row r="426" spans="11:16" s="1" customFormat="1" x14ac:dyDescent="0.25">
      <c r="K426" s="28"/>
      <c r="L426" s="28"/>
      <c r="N426" s="22"/>
      <c r="O426" s="22"/>
      <c r="P426" s="22"/>
    </row>
    <row r="427" spans="11:16" s="1" customFormat="1" x14ac:dyDescent="0.25">
      <c r="K427" s="28"/>
      <c r="L427" s="28"/>
      <c r="N427" s="22"/>
      <c r="O427" s="22"/>
      <c r="P427" s="22"/>
    </row>
    <row r="428" spans="11:16" s="1" customFormat="1" x14ac:dyDescent="0.25">
      <c r="K428" s="28"/>
      <c r="L428" s="28"/>
      <c r="N428" s="22"/>
      <c r="O428" s="22"/>
      <c r="P428" s="22"/>
    </row>
    <row r="429" spans="11:16" s="1" customFormat="1" x14ac:dyDescent="0.25">
      <c r="K429" s="28"/>
      <c r="L429" s="28"/>
      <c r="N429" s="22"/>
      <c r="O429" s="22"/>
      <c r="P429" s="22"/>
    </row>
    <row r="430" spans="11:16" s="1" customFormat="1" x14ac:dyDescent="0.25">
      <c r="K430" s="28"/>
      <c r="L430" s="28"/>
      <c r="N430" s="22"/>
      <c r="O430" s="22"/>
      <c r="P430" s="22"/>
    </row>
    <row r="431" spans="11:16" s="1" customFormat="1" x14ac:dyDescent="0.25">
      <c r="K431" s="28"/>
      <c r="L431" s="28"/>
      <c r="N431" s="22"/>
      <c r="O431" s="22"/>
      <c r="P431" s="22"/>
    </row>
    <row r="432" spans="11:16" s="1" customFormat="1" x14ac:dyDescent="0.25">
      <c r="K432" s="28"/>
      <c r="L432" s="28"/>
      <c r="N432" s="22"/>
      <c r="O432" s="22"/>
      <c r="P432" s="22"/>
    </row>
    <row r="433" spans="11:16" s="1" customFormat="1" x14ac:dyDescent="0.25">
      <c r="K433" s="28"/>
      <c r="L433" s="28"/>
      <c r="N433" s="22"/>
      <c r="O433" s="22"/>
      <c r="P433" s="22"/>
    </row>
    <row r="434" spans="11:16" s="1" customFormat="1" x14ac:dyDescent="0.25">
      <c r="K434" s="28"/>
      <c r="L434" s="28"/>
      <c r="N434" s="22"/>
      <c r="O434" s="22"/>
      <c r="P434" s="22"/>
    </row>
    <row r="435" spans="11:16" s="1" customFormat="1" x14ac:dyDescent="0.25">
      <c r="K435" s="28"/>
      <c r="L435" s="28"/>
      <c r="N435" s="22"/>
      <c r="O435" s="22"/>
      <c r="P435" s="22"/>
    </row>
    <row r="436" spans="11:16" s="1" customFormat="1" x14ac:dyDescent="0.25">
      <c r="K436" s="28"/>
      <c r="L436" s="28"/>
      <c r="N436" s="22"/>
      <c r="O436" s="22"/>
      <c r="P436" s="22"/>
    </row>
    <row r="437" spans="11:16" s="1" customFormat="1" x14ac:dyDescent="0.25">
      <c r="K437" s="28"/>
      <c r="L437" s="28"/>
      <c r="N437" s="22"/>
      <c r="O437" s="22"/>
      <c r="P437" s="22"/>
    </row>
    <row r="438" spans="11:16" s="1" customFormat="1" x14ac:dyDescent="0.25">
      <c r="K438" s="28"/>
      <c r="L438" s="28"/>
      <c r="N438" s="22"/>
      <c r="O438" s="22"/>
      <c r="P438" s="22"/>
    </row>
    <row r="439" spans="11:16" s="1" customFormat="1" x14ac:dyDescent="0.25">
      <c r="K439" s="28"/>
      <c r="L439" s="28"/>
      <c r="N439" s="22"/>
      <c r="O439" s="22"/>
      <c r="P439" s="22"/>
    </row>
    <row r="440" spans="11:16" s="1" customFormat="1" x14ac:dyDescent="0.25">
      <c r="K440" s="28"/>
      <c r="L440" s="28"/>
      <c r="N440" s="22"/>
      <c r="O440" s="22"/>
      <c r="P440" s="22"/>
    </row>
    <row r="441" spans="11:16" s="1" customFormat="1" x14ac:dyDescent="0.25">
      <c r="K441" s="28"/>
      <c r="L441" s="28"/>
      <c r="N441" s="22"/>
      <c r="O441" s="22"/>
      <c r="P441" s="22"/>
    </row>
    <row r="442" spans="11:16" s="1" customFormat="1" x14ac:dyDescent="0.25">
      <c r="K442" s="28"/>
      <c r="L442" s="28"/>
      <c r="N442" s="22"/>
      <c r="O442" s="22"/>
      <c r="P442" s="22"/>
    </row>
    <row r="443" spans="11:16" s="1" customFormat="1" x14ac:dyDescent="0.25">
      <c r="K443" s="28"/>
      <c r="L443" s="28"/>
      <c r="N443" s="22"/>
      <c r="O443" s="22"/>
      <c r="P443" s="22"/>
    </row>
    <row r="444" spans="11:16" s="1" customFormat="1" x14ac:dyDescent="0.25">
      <c r="K444" s="28"/>
      <c r="L444" s="28"/>
      <c r="N444" s="22"/>
      <c r="O444" s="22"/>
      <c r="P444" s="22"/>
    </row>
    <row r="445" spans="11:16" s="1" customFormat="1" x14ac:dyDescent="0.25">
      <c r="K445" s="28"/>
      <c r="L445" s="28"/>
      <c r="N445" s="22"/>
      <c r="O445" s="22"/>
      <c r="P445" s="22"/>
    </row>
    <row r="446" spans="11:16" s="1" customFormat="1" x14ac:dyDescent="0.25">
      <c r="K446" s="28"/>
      <c r="L446" s="28"/>
      <c r="N446" s="22"/>
      <c r="O446" s="22"/>
      <c r="P446" s="22"/>
    </row>
    <row r="447" spans="11:16" s="1" customFormat="1" x14ac:dyDescent="0.25">
      <c r="K447" s="28"/>
      <c r="L447" s="28"/>
      <c r="N447" s="22"/>
      <c r="O447" s="22"/>
      <c r="P447" s="22"/>
    </row>
    <row r="448" spans="11:16" s="1" customFormat="1" x14ac:dyDescent="0.25">
      <c r="K448" s="28"/>
      <c r="L448" s="28"/>
      <c r="N448" s="22"/>
      <c r="O448" s="22"/>
      <c r="P448" s="22"/>
    </row>
    <row r="449" spans="11:16" s="1" customFormat="1" x14ac:dyDescent="0.25">
      <c r="K449" s="28"/>
      <c r="L449" s="28"/>
      <c r="N449" s="22"/>
      <c r="O449" s="22"/>
      <c r="P449" s="22"/>
    </row>
    <row r="450" spans="11:16" s="1" customFormat="1" x14ac:dyDescent="0.25">
      <c r="K450" s="28"/>
      <c r="L450" s="28"/>
      <c r="N450" s="22"/>
      <c r="O450" s="22"/>
      <c r="P450" s="22"/>
    </row>
    <row r="451" spans="11:16" s="1" customFormat="1" x14ac:dyDescent="0.25">
      <c r="K451" s="28"/>
      <c r="L451" s="28"/>
      <c r="N451" s="22"/>
      <c r="O451" s="22"/>
      <c r="P451" s="22"/>
    </row>
    <row r="452" spans="11:16" s="1" customFormat="1" x14ac:dyDescent="0.25">
      <c r="K452" s="28"/>
      <c r="L452" s="28"/>
      <c r="N452" s="22"/>
      <c r="O452" s="22"/>
      <c r="P452" s="22"/>
    </row>
    <row r="453" spans="11:16" s="1" customFormat="1" x14ac:dyDescent="0.25">
      <c r="K453" s="28"/>
      <c r="L453" s="28"/>
      <c r="N453" s="22"/>
      <c r="O453" s="22"/>
      <c r="P453" s="22"/>
    </row>
    <row r="454" spans="11:16" s="1" customFormat="1" x14ac:dyDescent="0.25">
      <c r="K454" s="28"/>
      <c r="L454" s="28"/>
      <c r="N454" s="22"/>
      <c r="O454" s="22"/>
      <c r="P454" s="22"/>
    </row>
    <row r="455" spans="11:16" s="1" customFormat="1" x14ac:dyDescent="0.25">
      <c r="K455" s="28"/>
      <c r="L455" s="28"/>
      <c r="N455" s="22"/>
      <c r="O455" s="22"/>
      <c r="P455" s="22"/>
    </row>
    <row r="456" spans="11:16" s="1" customFormat="1" x14ac:dyDescent="0.25">
      <c r="K456" s="28"/>
      <c r="L456" s="28"/>
      <c r="N456" s="22"/>
      <c r="O456" s="22"/>
      <c r="P456" s="22"/>
    </row>
    <row r="457" spans="11:16" s="1" customFormat="1" x14ac:dyDescent="0.25">
      <c r="K457" s="28"/>
      <c r="L457" s="28"/>
      <c r="N457" s="22"/>
      <c r="O457" s="22"/>
      <c r="P457" s="22"/>
    </row>
    <row r="458" spans="11:16" s="1" customFormat="1" x14ac:dyDescent="0.25">
      <c r="K458" s="28"/>
      <c r="L458" s="28"/>
      <c r="N458" s="22"/>
      <c r="O458" s="22"/>
      <c r="P458" s="22"/>
    </row>
    <row r="459" spans="11:16" s="1" customFormat="1" x14ac:dyDescent="0.25">
      <c r="K459" s="28"/>
      <c r="L459" s="28"/>
      <c r="N459" s="22"/>
      <c r="O459" s="22"/>
      <c r="P459" s="22"/>
    </row>
    <row r="460" spans="11:16" s="1" customFormat="1" x14ac:dyDescent="0.25">
      <c r="K460" s="28"/>
      <c r="L460" s="28"/>
      <c r="N460" s="22"/>
      <c r="O460" s="22"/>
      <c r="P460" s="22"/>
    </row>
    <row r="461" spans="11:16" s="1" customFormat="1" x14ac:dyDescent="0.25">
      <c r="K461" s="28"/>
      <c r="L461" s="28"/>
      <c r="N461" s="22"/>
      <c r="O461" s="22"/>
      <c r="P461" s="22"/>
    </row>
    <row r="462" spans="11:16" s="1" customFormat="1" x14ac:dyDescent="0.25">
      <c r="K462" s="28"/>
      <c r="L462" s="28"/>
      <c r="N462" s="22"/>
      <c r="O462" s="22"/>
      <c r="P462" s="22"/>
    </row>
    <row r="463" spans="11:16" s="1" customFormat="1" x14ac:dyDescent="0.25">
      <c r="K463" s="28"/>
      <c r="L463" s="28"/>
      <c r="N463" s="22"/>
      <c r="O463" s="22"/>
      <c r="P463" s="22"/>
    </row>
    <row r="464" spans="11:16" s="1" customFormat="1" x14ac:dyDescent="0.25">
      <c r="K464" s="28"/>
      <c r="L464" s="28"/>
      <c r="N464" s="22"/>
      <c r="O464" s="22"/>
      <c r="P464" s="22"/>
    </row>
    <row r="465" spans="11:16" s="1" customFormat="1" x14ac:dyDescent="0.25">
      <c r="K465" s="28"/>
      <c r="L465" s="28"/>
      <c r="N465" s="22"/>
      <c r="O465" s="22"/>
      <c r="P465" s="22"/>
    </row>
    <row r="466" spans="11:16" s="1" customFormat="1" x14ac:dyDescent="0.25">
      <c r="K466" s="28"/>
      <c r="L466" s="28"/>
      <c r="N466" s="22"/>
      <c r="O466" s="22"/>
      <c r="P466" s="22"/>
    </row>
    <row r="467" spans="11:16" s="1" customFormat="1" x14ac:dyDescent="0.25">
      <c r="K467" s="28"/>
      <c r="L467" s="28"/>
      <c r="N467" s="22"/>
      <c r="O467" s="22"/>
      <c r="P467" s="22"/>
    </row>
    <row r="468" spans="11:16" s="1" customFormat="1" x14ac:dyDescent="0.25">
      <c r="K468" s="28"/>
      <c r="L468" s="28"/>
      <c r="N468" s="22"/>
      <c r="O468" s="22"/>
      <c r="P468" s="22"/>
    </row>
    <row r="469" spans="11:16" s="1" customFormat="1" x14ac:dyDescent="0.25">
      <c r="K469" s="28"/>
      <c r="L469" s="28"/>
      <c r="N469" s="22"/>
      <c r="O469" s="22"/>
      <c r="P469" s="22"/>
    </row>
    <row r="470" spans="11:16" s="1" customFormat="1" x14ac:dyDescent="0.25">
      <c r="K470" s="28"/>
      <c r="L470" s="28"/>
      <c r="N470" s="22"/>
      <c r="O470" s="22"/>
      <c r="P470" s="22"/>
    </row>
    <row r="471" spans="11:16" s="1" customFormat="1" x14ac:dyDescent="0.25">
      <c r="K471" s="28"/>
      <c r="L471" s="28"/>
      <c r="N471" s="22"/>
      <c r="O471" s="22"/>
      <c r="P471" s="22"/>
    </row>
    <row r="472" spans="11:16" s="1" customFormat="1" x14ac:dyDescent="0.25">
      <c r="K472" s="28"/>
      <c r="L472" s="28"/>
      <c r="N472" s="22"/>
      <c r="O472" s="22"/>
      <c r="P472" s="22"/>
    </row>
    <row r="473" spans="11:16" s="1" customFormat="1" x14ac:dyDescent="0.25">
      <c r="K473" s="28"/>
      <c r="L473" s="28"/>
      <c r="N473" s="22"/>
      <c r="O473" s="22"/>
      <c r="P473" s="22"/>
    </row>
    <row r="474" spans="11:16" s="1" customFormat="1" x14ac:dyDescent="0.25">
      <c r="K474" s="28"/>
      <c r="L474" s="28"/>
      <c r="N474" s="22"/>
      <c r="O474" s="22"/>
      <c r="P474" s="22"/>
    </row>
    <row r="475" spans="11:16" s="1" customFormat="1" x14ac:dyDescent="0.25">
      <c r="K475" s="28"/>
      <c r="L475" s="28"/>
      <c r="N475" s="22"/>
      <c r="O475" s="22"/>
      <c r="P475" s="22"/>
    </row>
    <row r="476" spans="11:16" s="1" customFormat="1" x14ac:dyDescent="0.25">
      <c r="K476" s="28"/>
      <c r="L476" s="28"/>
      <c r="N476" s="22"/>
      <c r="O476" s="22"/>
      <c r="P476" s="22"/>
    </row>
    <row r="477" spans="11:16" s="1" customFormat="1" x14ac:dyDescent="0.25">
      <c r="K477" s="28"/>
      <c r="L477" s="28"/>
      <c r="N477" s="22"/>
      <c r="O477" s="22"/>
      <c r="P477" s="22"/>
    </row>
    <row r="478" spans="11:16" s="1" customFormat="1" x14ac:dyDescent="0.25">
      <c r="K478" s="28"/>
      <c r="L478" s="28"/>
      <c r="N478" s="22"/>
      <c r="O478" s="22"/>
      <c r="P478" s="22"/>
    </row>
    <row r="479" spans="11:16" s="1" customFormat="1" x14ac:dyDescent="0.25">
      <c r="K479" s="28"/>
      <c r="L479" s="28"/>
      <c r="N479" s="22"/>
      <c r="O479" s="22"/>
      <c r="P479" s="22"/>
    </row>
    <row r="480" spans="11:16" s="1" customFormat="1" x14ac:dyDescent="0.25">
      <c r="K480" s="28"/>
      <c r="L480" s="28"/>
      <c r="N480" s="22"/>
      <c r="O480" s="22"/>
      <c r="P480" s="22"/>
    </row>
    <row r="481" spans="11:16" s="1" customFormat="1" x14ac:dyDescent="0.25">
      <c r="K481" s="28"/>
      <c r="L481" s="28"/>
      <c r="N481" s="22"/>
      <c r="O481" s="22"/>
      <c r="P481" s="22"/>
    </row>
    <row r="482" spans="11:16" s="1" customFormat="1" x14ac:dyDescent="0.25">
      <c r="K482" s="28"/>
      <c r="L482" s="28"/>
      <c r="N482" s="22"/>
      <c r="O482" s="22"/>
      <c r="P482" s="22"/>
    </row>
    <row r="483" spans="11:16" s="1" customFormat="1" x14ac:dyDescent="0.25">
      <c r="K483" s="28"/>
      <c r="L483" s="28"/>
      <c r="N483" s="22"/>
      <c r="O483" s="22"/>
      <c r="P483" s="22"/>
    </row>
    <row r="484" spans="11:16" s="1" customFormat="1" x14ac:dyDescent="0.25">
      <c r="K484" s="28"/>
      <c r="L484" s="28"/>
      <c r="N484" s="22"/>
      <c r="O484" s="22"/>
      <c r="P484" s="22"/>
    </row>
    <row r="485" spans="11:16" s="1" customFormat="1" x14ac:dyDescent="0.25">
      <c r="K485" s="28"/>
      <c r="L485" s="28"/>
      <c r="N485" s="22"/>
      <c r="O485" s="22"/>
      <c r="P485" s="22"/>
    </row>
    <row r="486" spans="11:16" s="1" customFormat="1" x14ac:dyDescent="0.25">
      <c r="K486" s="28"/>
      <c r="L486" s="28"/>
      <c r="N486" s="22"/>
      <c r="O486" s="22"/>
      <c r="P486" s="22"/>
    </row>
    <row r="487" spans="11:16" s="1" customFormat="1" x14ac:dyDescent="0.25">
      <c r="K487" s="28"/>
      <c r="L487" s="28"/>
      <c r="N487" s="22"/>
      <c r="O487" s="22"/>
      <c r="P487" s="22"/>
    </row>
    <row r="488" spans="11:16" s="1" customFormat="1" x14ac:dyDescent="0.25">
      <c r="K488" s="28"/>
      <c r="L488" s="28"/>
      <c r="N488" s="22"/>
      <c r="O488" s="22"/>
      <c r="P488" s="22"/>
    </row>
    <row r="489" spans="11:16" s="1" customFormat="1" x14ac:dyDescent="0.25">
      <c r="K489" s="28"/>
      <c r="L489" s="28"/>
      <c r="N489" s="22"/>
      <c r="O489" s="22"/>
      <c r="P489" s="22"/>
    </row>
    <row r="490" spans="11:16" s="1" customFormat="1" x14ac:dyDescent="0.25">
      <c r="K490" s="28"/>
      <c r="L490" s="28"/>
      <c r="N490" s="22"/>
      <c r="O490" s="22"/>
      <c r="P490" s="22"/>
    </row>
    <row r="491" spans="11:16" s="1" customFormat="1" x14ac:dyDescent="0.25">
      <c r="K491" s="28"/>
      <c r="L491" s="28"/>
      <c r="N491" s="22"/>
      <c r="O491" s="22"/>
      <c r="P491" s="22"/>
    </row>
    <row r="492" spans="11:16" s="1" customFormat="1" x14ac:dyDescent="0.25">
      <c r="K492" s="28"/>
      <c r="L492" s="28"/>
      <c r="N492" s="22"/>
      <c r="O492" s="22"/>
      <c r="P492" s="22"/>
    </row>
    <row r="493" spans="11:16" s="1" customFormat="1" x14ac:dyDescent="0.25">
      <c r="K493" s="28"/>
      <c r="L493" s="28"/>
      <c r="N493" s="22"/>
      <c r="O493" s="22"/>
      <c r="P493" s="22"/>
    </row>
    <row r="494" spans="11:16" s="1" customFormat="1" x14ac:dyDescent="0.25">
      <c r="K494" s="28"/>
      <c r="L494" s="28"/>
      <c r="N494" s="22"/>
      <c r="O494" s="22"/>
      <c r="P494" s="22"/>
    </row>
    <row r="495" spans="11:16" s="1" customFormat="1" x14ac:dyDescent="0.25">
      <c r="K495" s="28"/>
      <c r="L495" s="28"/>
      <c r="N495" s="22"/>
      <c r="O495" s="22"/>
      <c r="P495" s="22"/>
    </row>
    <row r="496" spans="11:16" s="1" customFormat="1" x14ac:dyDescent="0.25">
      <c r="K496" s="28"/>
      <c r="L496" s="28"/>
      <c r="N496" s="22"/>
      <c r="O496" s="22"/>
      <c r="P496" s="22"/>
    </row>
    <row r="497" spans="11:16" s="1" customFormat="1" x14ac:dyDescent="0.25">
      <c r="K497" s="28"/>
      <c r="L497" s="28"/>
      <c r="N497" s="22"/>
      <c r="O497" s="22"/>
      <c r="P497" s="22"/>
    </row>
    <row r="498" spans="11:16" s="1" customFormat="1" x14ac:dyDescent="0.25">
      <c r="K498" s="28"/>
      <c r="L498" s="28"/>
      <c r="N498" s="22"/>
      <c r="O498" s="22"/>
      <c r="P498" s="22"/>
    </row>
    <row r="499" spans="11:16" s="1" customFormat="1" x14ac:dyDescent="0.25">
      <c r="K499" s="28"/>
      <c r="L499" s="28"/>
      <c r="N499" s="22"/>
      <c r="O499" s="22"/>
      <c r="P499" s="22"/>
    </row>
    <row r="500" spans="11:16" s="1" customFormat="1" x14ac:dyDescent="0.25">
      <c r="K500" s="28"/>
      <c r="L500" s="28"/>
      <c r="N500" s="22"/>
      <c r="O500" s="22"/>
      <c r="P500" s="22"/>
    </row>
    <row r="501" spans="11:16" s="1" customFormat="1" x14ac:dyDescent="0.25">
      <c r="K501" s="28"/>
      <c r="L501" s="28"/>
      <c r="N501" s="22"/>
      <c r="O501" s="22"/>
      <c r="P501" s="22"/>
    </row>
    <row r="502" spans="11:16" s="1" customFormat="1" x14ac:dyDescent="0.25">
      <c r="K502" s="28"/>
      <c r="L502" s="28"/>
      <c r="N502" s="22"/>
      <c r="O502" s="22"/>
      <c r="P502" s="22"/>
    </row>
    <row r="503" spans="11:16" s="1" customFormat="1" x14ac:dyDescent="0.25">
      <c r="K503" s="28"/>
      <c r="L503" s="28"/>
      <c r="N503" s="22"/>
      <c r="O503" s="22"/>
      <c r="P503" s="22"/>
    </row>
    <row r="504" spans="11:16" s="1" customFormat="1" x14ac:dyDescent="0.25">
      <c r="K504" s="28"/>
      <c r="L504" s="28"/>
      <c r="N504" s="22"/>
      <c r="O504" s="22"/>
      <c r="P504" s="22"/>
    </row>
    <row r="505" spans="11:16" s="1" customFormat="1" x14ac:dyDescent="0.25">
      <c r="K505" s="28"/>
      <c r="L505" s="28"/>
      <c r="N505" s="22"/>
      <c r="O505" s="22"/>
      <c r="P505" s="22"/>
    </row>
    <row r="506" spans="11:16" s="1" customFormat="1" x14ac:dyDescent="0.25">
      <c r="K506" s="28"/>
      <c r="L506" s="28"/>
      <c r="N506" s="22"/>
      <c r="O506" s="22"/>
      <c r="P506" s="22"/>
    </row>
    <row r="507" spans="11:16" s="1" customFormat="1" x14ac:dyDescent="0.25">
      <c r="K507" s="28"/>
      <c r="L507" s="28"/>
      <c r="N507" s="22"/>
      <c r="O507" s="22"/>
      <c r="P507" s="22"/>
    </row>
    <row r="508" spans="11:16" s="1" customFormat="1" x14ac:dyDescent="0.25">
      <c r="K508" s="28"/>
      <c r="L508" s="28"/>
      <c r="N508" s="22"/>
      <c r="O508" s="22"/>
      <c r="P508" s="22"/>
    </row>
    <row r="509" spans="11:16" s="1" customFormat="1" x14ac:dyDescent="0.25">
      <c r="K509" s="28"/>
      <c r="L509" s="28"/>
      <c r="N509" s="22"/>
      <c r="O509" s="22"/>
      <c r="P509" s="22"/>
    </row>
    <row r="510" spans="11:16" s="1" customFormat="1" x14ac:dyDescent="0.25">
      <c r="K510" s="28"/>
      <c r="L510" s="28"/>
      <c r="N510" s="22"/>
      <c r="O510" s="22"/>
      <c r="P510" s="22"/>
    </row>
    <row r="511" spans="11:16" s="1" customFormat="1" x14ac:dyDescent="0.25">
      <c r="K511" s="28"/>
      <c r="L511" s="28"/>
      <c r="N511" s="22"/>
      <c r="O511" s="22"/>
      <c r="P511" s="22"/>
    </row>
    <row r="512" spans="11:16" s="1" customFormat="1" x14ac:dyDescent="0.25">
      <c r="K512" s="28"/>
      <c r="L512" s="28"/>
      <c r="N512" s="22"/>
      <c r="O512" s="22"/>
      <c r="P512" s="22"/>
    </row>
    <row r="513" spans="11:16" s="1" customFormat="1" x14ac:dyDescent="0.25">
      <c r="K513" s="28"/>
      <c r="L513" s="28"/>
      <c r="N513" s="22"/>
      <c r="O513" s="22"/>
      <c r="P513" s="22"/>
    </row>
    <row r="514" spans="11:16" s="1" customFormat="1" x14ac:dyDescent="0.25">
      <c r="K514" s="28"/>
      <c r="L514" s="28"/>
      <c r="N514" s="22"/>
      <c r="O514" s="22"/>
      <c r="P514" s="22"/>
    </row>
    <row r="515" spans="11:16" s="1" customFormat="1" x14ac:dyDescent="0.25">
      <c r="K515" s="28"/>
      <c r="L515" s="28"/>
      <c r="N515" s="22"/>
      <c r="O515" s="22"/>
      <c r="P515" s="22"/>
    </row>
    <row r="516" spans="11:16" s="1" customFormat="1" x14ac:dyDescent="0.25">
      <c r="K516" s="28"/>
      <c r="L516" s="28"/>
      <c r="N516" s="22"/>
      <c r="O516" s="22"/>
      <c r="P516" s="22"/>
    </row>
    <row r="517" spans="11:16" s="1" customFormat="1" x14ac:dyDescent="0.25">
      <c r="K517" s="28"/>
      <c r="L517" s="28"/>
      <c r="N517" s="22"/>
      <c r="O517" s="22"/>
      <c r="P517" s="22"/>
    </row>
    <row r="518" spans="11:16" s="1" customFormat="1" x14ac:dyDescent="0.25">
      <c r="K518" s="28"/>
      <c r="L518" s="28"/>
      <c r="N518" s="22"/>
      <c r="O518" s="22"/>
      <c r="P518" s="22"/>
    </row>
    <row r="519" spans="11:16" s="1" customFormat="1" x14ac:dyDescent="0.25">
      <c r="K519" s="28"/>
      <c r="L519" s="28"/>
      <c r="N519" s="22"/>
      <c r="O519" s="22"/>
      <c r="P519" s="22"/>
    </row>
    <row r="520" spans="11:16" s="1" customFormat="1" x14ac:dyDescent="0.25">
      <c r="K520" s="28"/>
      <c r="L520" s="28"/>
      <c r="N520" s="22"/>
      <c r="O520" s="22"/>
      <c r="P520" s="22"/>
    </row>
    <row r="521" spans="11:16" s="1" customFormat="1" x14ac:dyDescent="0.25">
      <c r="K521" s="28"/>
      <c r="L521" s="28"/>
      <c r="N521" s="22"/>
      <c r="O521" s="22"/>
      <c r="P521" s="22"/>
    </row>
    <row r="522" spans="11:16" s="1" customFormat="1" x14ac:dyDescent="0.25">
      <c r="K522" s="28"/>
      <c r="L522" s="28"/>
      <c r="N522" s="22"/>
      <c r="O522" s="22"/>
      <c r="P522" s="22"/>
    </row>
    <row r="523" spans="11:16" s="1" customFormat="1" x14ac:dyDescent="0.25">
      <c r="K523" s="28"/>
      <c r="L523" s="28"/>
      <c r="N523" s="22"/>
      <c r="O523" s="22"/>
      <c r="P523" s="22"/>
    </row>
    <row r="524" spans="11:16" s="1" customFormat="1" x14ac:dyDescent="0.25">
      <c r="K524" s="28"/>
      <c r="L524" s="28"/>
      <c r="N524" s="22"/>
      <c r="O524" s="22"/>
      <c r="P524" s="22"/>
    </row>
    <row r="525" spans="11:16" s="1" customFormat="1" x14ac:dyDescent="0.25">
      <c r="K525" s="28"/>
      <c r="L525" s="28"/>
      <c r="N525" s="22"/>
      <c r="O525" s="22"/>
      <c r="P525" s="22"/>
    </row>
    <row r="526" spans="11:16" s="1" customFormat="1" x14ac:dyDescent="0.25">
      <c r="K526" s="28"/>
      <c r="L526" s="28"/>
      <c r="N526" s="22"/>
      <c r="O526" s="22"/>
      <c r="P526" s="22"/>
    </row>
    <row r="527" spans="11:16" s="1" customFormat="1" x14ac:dyDescent="0.25">
      <c r="K527" s="28"/>
      <c r="L527" s="28"/>
      <c r="N527" s="22"/>
      <c r="O527" s="22"/>
      <c r="P527" s="22"/>
    </row>
    <row r="528" spans="11:16" s="1" customFormat="1" x14ac:dyDescent="0.25">
      <c r="K528" s="28"/>
      <c r="L528" s="28"/>
      <c r="N528" s="22"/>
      <c r="O528" s="22"/>
      <c r="P528" s="22"/>
    </row>
    <row r="529" spans="11:16" s="1" customFormat="1" x14ac:dyDescent="0.25">
      <c r="K529" s="28"/>
      <c r="L529" s="28"/>
      <c r="N529" s="22"/>
      <c r="O529" s="22"/>
      <c r="P529" s="22"/>
    </row>
    <row r="530" spans="11:16" s="1" customFormat="1" x14ac:dyDescent="0.25">
      <c r="K530" s="28"/>
      <c r="L530" s="28"/>
      <c r="N530" s="22"/>
      <c r="O530" s="22"/>
      <c r="P530" s="22"/>
    </row>
    <row r="531" spans="11:16" s="1" customFormat="1" x14ac:dyDescent="0.25">
      <c r="K531" s="28"/>
      <c r="L531" s="28"/>
      <c r="N531" s="22"/>
      <c r="O531" s="22"/>
      <c r="P531" s="22"/>
    </row>
    <row r="532" spans="11:16" s="1" customFormat="1" x14ac:dyDescent="0.25">
      <c r="K532" s="28"/>
      <c r="L532" s="28"/>
      <c r="N532" s="22"/>
      <c r="O532" s="22"/>
      <c r="P532" s="22"/>
    </row>
    <row r="533" spans="11:16" s="1" customFormat="1" x14ac:dyDescent="0.25">
      <c r="K533" s="28"/>
      <c r="L533" s="28"/>
      <c r="N533" s="22"/>
      <c r="O533" s="22"/>
      <c r="P533" s="22"/>
    </row>
    <row r="534" spans="11:16" s="1" customFormat="1" x14ac:dyDescent="0.25">
      <c r="K534" s="28"/>
      <c r="L534" s="28"/>
      <c r="N534" s="22"/>
      <c r="O534" s="22"/>
      <c r="P534" s="22"/>
    </row>
    <row r="535" spans="11:16" s="1" customFormat="1" x14ac:dyDescent="0.25">
      <c r="K535" s="28"/>
      <c r="L535" s="28"/>
      <c r="N535" s="22"/>
      <c r="O535" s="22"/>
      <c r="P535" s="22"/>
    </row>
    <row r="536" spans="11:16" s="1" customFormat="1" x14ac:dyDescent="0.25">
      <c r="K536" s="28"/>
      <c r="L536" s="28"/>
      <c r="N536" s="22"/>
      <c r="O536" s="22"/>
      <c r="P536" s="22"/>
    </row>
    <row r="537" spans="11:16" s="1" customFormat="1" x14ac:dyDescent="0.25">
      <c r="K537" s="28"/>
      <c r="L537" s="28"/>
      <c r="N537" s="22"/>
      <c r="O537" s="22"/>
      <c r="P537" s="22"/>
    </row>
    <row r="538" spans="11:16" s="1" customFormat="1" x14ac:dyDescent="0.25">
      <c r="K538" s="28"/>
      <c r="L538" s="28"/>
      <c r="N538" s="22"/>
      <c r="O538" s="22"/>
      <c r="P538" s="22"/>
    </row>
    <row r="539" spans="11:16" s="1" customFormat="1" x14ac:dyDescent="0.25">
      <c r="K539" s="28"/>
      <c r="L539" s="28"/>
      <c r="N539" s="22"/>
      <c r="O539" s="22"/>
      <c r="P539" s="22"/>
    </row>
    <row r="540" spans="11:16" s="1" customFormat="1" x14ac:dyDescent="0.25">
      <c r="K540" s="28"/>
      <c r="L540" s="28"/>
      <c r="N540" s="22"/>
      <c r="O540" s="22"/>
      <c r="P540" s="22"/>
    </row>
    <row r="541" spans="11:16" s="1" customFormat="1" x14ac:dyDescent="0.25">
      <c r="K541" s="28"/>
      <c r="L541" s="28"/>
      <c r="N541" s="22"/>
      <c r="O541" s="22"/>
      <c r="P541" s="22"/>
    </row>
    <row r="542" spans="11:16" s="1" customFormat="1" x14ac:dyDescent="0.25">
      <c r="K542" s="28"/>
      <c r="L542" s="28"/>
      <c r="N542" s="22"/>
      <c r="O542" s="22"/>
      <c r="P542" s="22"/>
    </row>
    <row r="543" spans="11:16" s="1" customFormat="1" x14ac:dyDescent="0.25">
      <c r="K543" s="28"/>
      <c r="L543" s="28"/>
      <c r="N543" s="22"/>
      <c r="O543" s="22"/>
      <c r="P543" s="22"/>
    </row>
    <row r="544" spans="11:16" s="1" customFormat="1" x14ac:dyDescent="0.25">
      <c r="K544" s="28"/>
      <c r="L544" s="28"/>
      <c r="N544" s="22"/>
      <c r="O544" s="22"/>
      <c r="P544" s="22"/>
    </row>
    <row r="545" spans="11:16" s="1" customFormat="1" x14ac:dyDescent="0.25">
      <c r="K545" s="28"/>
      <c r="L545" s="28"/>
      <c r="N545" s="22"/>
      <c r="O545" s="22"/>
      <c r="P545" s="22"/>
    </row>
    <row r="546" spans="11:16" s="1" customFormat="1" x14ac:dyDescent="0.25">
      <c r="K546" s="28"/>
      <c r="L546" s="28"/>
      <c r="N546" s="22"/>
      <c r="O546" s="22"/>
      <c r="P546" s="22"/>
    </row>
    <row r="547" spans="11:16" s="1" customFormat="1" x14ac:dyDescent="0.25">
      <c r="K547" s="28"/>
      <c r="L547" s="28"/>
      <c r="N547" s="22"/>
      <c r="O547" s="22"/>
      <c r="P547" s="22"/>
    </row>
    <row r="548" spans="11:16" s="1" customFormat="1" x14ac:dyDescent="0.25">
      <c r="K548" s="28"/>
      <c r="L548" s="28"/>
      <c r="N548" s="22"/>
      <c r="O548" s="22"/>
      <c r="P548" s="22"/>
    </row>
    <row r="549" spans="11:16" s="1" customFormat="1" x14ac:dyDescent="0.25">
      <c r="K549" s="28"/>
      <c r="L549" s="28"/>
      <c r="N549" s="22"/>
      <c r="O549" s="22"/>
      <c r="P549" s="22"/>
    </row>
    <row r="550" spans="11:16" s="1" customFormat="1" x14ac:dyDescent="0.25">
      <c r="K550" s="28"/>
      <c r="L550" s="28"/>
      <c r="N550" s="22"/>
      <c r="O550" s="22"/>
      <c r="P550" s="22"/>
    </row>
    <row r="551" spans="11:16" s="1" customFormat="1" x14ac:dyDescent="0.25">
      <c r="K551" s="28"/>
      <c r="L551" s="28"/>
      <c r="N551" s="22"/>
      <c r="O551" s="22"/>
      <c r="P551" s="22"/>
    </row>
    <row r="552" spans="11:16" s="1" customFormat="1" x14ac:dyDescent="0.25">
      <c r="K552" s="28"/>
      <c r="L552" s="28"/>
      <c r="N552" s="22"/>
      <c r="O552" s="22"/>
      <c r="P552" s="22"/>
    </row>
    <row r="553" spans="11:16" s="1" customFormat="1" x14ac:dyDescent="0.25">
      <c r="K553" s="28"/>
      <c r="L553" s="28"/>
      <c r="N553" s="22"/>
      <c r="O553" s="22"/>
      <c r="P553" s="22"/>
    </row>
    <row r="554" spans="11:16" s="1" customFormat="1" x14ac:dyDescent="0.25">
      <c r="K554" s="28"/>
      <c r="L554" s="28"/>
      <c r="N554" s="22"/>
      <c r="O554" s="22"/>
      <c r="P554" s="22"/>
    </row>
    <row r="555" spans="11:16" s="1" customFormat="1" x14ac:dyDescent="0.25">
      <c r="K555" s="28"/>
      <c r="L555" s="28"/>
      <c r="N555" s="22"/>
      <c r="O555" s="22"/>
      <c r="P555" s="22"/>
    </row>
    <row r="556" spans="11:16" s="1" customFormat="1" x14ac:dyDescent="0.25">
      <c r="K556" s="28"/>
      <c r="L556" s="28"/>
      <c r="N556" s="22"/>
      <c r="O556" s="22"/>
      <c r="P556" s="22"/>
    </row>
    <row r="557" spans="11:16" s="1" customFormat="1" x14ac:dyDescent="0.25">
      <c r="K557" s="28"/>
      <c r="L557" s="28"/>
      <c r="N557" s="22"/>
      <c r="O557" s="22"/>
      <c r="P557" s="22"/>
    </row>
    <row r="558" spans="11:16" s="1" customFormat="1" x14ac:dyDescent="0.25">
      <c r="K558" s="28"/>
      <c r="L558" s="28"/>
      <c r="N558" s="22"/>
      <c r="O558" s="22"/>
      <c r="P558" s="22"/>
    </row>
    <row r="559" spans="11:16" s="1" customFormat="1" x14ac:dyDescent="0.25">
      <c r="K559" s="28"/>
      <c r="L559" s="28"/>
      <c r="N559" s="22"/>
      <c r="O559" s="22"/>
      <c r="P559" s="22"/>
    </row>
    <row r="560" spans="11:16" s="1" customFormat="1" x14ac:dyDescent="0.25">
      <c r="K560" s="28"/>
      <c r="L560" s="28"/>
      <c r="N560" s="22"/>
      <c r="O560" s="22"/>
      <c r="P560" s="22"/>
    </row>
    <row r="561" spans="11:16" s="1" customFormat="1" x14ac:dyDescent="0.25">
      <c r="K561" s="28"/>
      <c r="L561" s="28"/>
      <c r="N561" s="22"/>
      <c r="O561" s="22"/>
      <c r="P561" s="22"/>
    </row>
    <row r="562" spans="11:16" s="1" customFormat="1" x14ac:dyDescent="0.25">
      <c r="K562" s="28"/>
      <c r="L562" s="28"/>
      <c r="N562" s="22"/>
      <c r="O562" s="22"/>
      <c r="P562" s="22"/>
    </row>
    <row r="563" spans="11:16" s="1" customFormat="1" x14ac:dyDescent="0.25">
      <c r="K563" s="28"/>
      <c r="L563" s="28"/>
      <c r="N563" s="22"/>
      <c r="O563" s="22"/>
      <c r="P563" s="22"/>
    </row>
    <row r="564" spans="11:16" s="1" customFormat="1" x14ac:dyDescent="0.25">
      <c r="K564" s="28"/>
      <c r="L564" s="28"/>
      <c r="N564" s="22"/>
      <c r="O564" s="22"/>
      <c r="P564" s="22"/>
    </row>
    <row r="565" spans="11:16" s="1" customFormat="1" x14ac:dyDescent="0.25">
      <c r="K565" s="28"/>
      <c r="L565" s="28"/>
      <c r="N565" s="22"/>
      <c r="O565" s="22"/>
      <c r="P565" s="22"/>
    </row>
    <row r="566" spans="11:16" s="1" customFormat="1" x14ac:dyDescent="0.25">
      <c r="K566" s="28"/>
      <c r="L566" s="28"/>
      <c r="N566" s="22"/>
      <c r="O566" s="22"/>
      <c r="P566" s="22"/>
    </row>
    <row r="567" spans="11:16" s="1" customFormat="1" x14ac:dyDescent="0.25">
      <c r="K567" s="28"/>
      <c r="L567" s="28"/>
      <c r="N567" s="22"/>
      <c r="O567" s="22"/>
      <c r="P567" s="22"/>
    </row>
    <row r="568" spans="11:16" s="1" customFormat="1" x14ac:dyDescent="0.25">
      <c r="K568" s="28"/>
      <c r="L568" s="28"/>
      <c r="N568" s="22"/>
      <c r="O568" s="22"/>
      <c r="P568" s="22"/>
    </row>
    <row r="569" spans="11:16" s="1" customFormat="1" x14ac:dyDescent="0.25">
      <c r="K569" s="28"/>
      <c r="L569" s="28"/>
      <c r="N569" s="22"/>
      <c r="O569" s="22"/>
      <c r="P569" s="22"/>
    </row>
    <row r="570" spans="11:16" s="1" customFormat="1" x14ac:dyDescent="0.25">
      <c r="K570" s="28"/>
      <c r="L570" s="28"/>
      <c r="N570" s="22"/>
      <c r="O570" s="22"/>
      <c r="P570" s="22"/>
    </row>
    <row r="571" spans="11:16" s="1" customFormat="1" x14ac:dyDescent="0.25">
      <c r="K571" s="28"/>
      <c r="L571" s="28"/>
      <c r="N571" s="22"/>
      <c r="O571" s="22"/>
      <c r="P571" s="22"/>
    </row>
    <row r="572" spans="11:16" s="1" customFormat="1" x14ac:dyDescent="0.25">
      <c r="K572" s="28"/>
      <c r="L572" s="28"/>
      <c r="N572" s="22"/>
      <c r="O572" s="22"/>
      <c r="P572" s="22"/>
    </row>
    <row r="573" spans="11:16" s="1" customFormat="1" x14ac:dyDescent="0.25">
      <c r="K573" s="28"/>
      <c r="L573" s="28"/>
      <c r="N573" s="22"/>
      <c r="O573" s="22"/>
      <c r="P573" s="22"/>
    </row>
    <row r="574" spans="11:16" s="1" customFormat="1" x14ac:dyDescent="0.25">
      <c r="K574" s="28"/>
      <c r="L574" s="28"/>
      <c r="N574" s="22"/>
      <c r="O574" s="22"/>
      <c r="P574" s="22"/>
    </row>
    <row r="575" spans="11:16" s="1" customFormat="1" x14ac:dyDescent="0.25">
      <c r="K575" s="28"/>
      <c r="L575" s="28"/>
      <c r="N575" s="22"/>
      <c r="O575" s="22"/>
      <c r="P575" s="22"/>
    </row>
    <row r="576" spans="11:16" s="1" customFormat="1" x14ac:dyDescent="0.25">
      <c r="K576" s="28"/>
      <c r="L576" s="28"/>
      <c r="N576" s="22"/>
      <c r="O576" s="22"/>
      <c r="P576" s="22"/>
    </row>
    <row r="577" spans="11:16" s="1" customFormat="1" x14ac:dyDescent="0.25">
      <c r="K577" s="28"/>
      <c r="L577" s="28"/>
      <c r="N577" s="22"/>
      <c r="O577" s="22"/>
      <c r="P577" s="22"/>
    </row>
    <row r="578" spans="11:16" s="1" customFormat="1" x14ac:dyDescent="0.25">
      <c r="K578" s="28"/>
      <c r="L578" s="28"/>
      <c r="N578" s="22"/>
      <c r="O578" s="22"/>
      <c r="P578" s="22"/>
    </row>
    <row r="579" spans="11:16" s="1" customFormat="1" x14ac:dyDescent="0.25">
      <c r="K579" s="28"/>
      <c r="L579" s="28"/>
      <c r="N579" s="22"/>
      <c r="O579" s="22"/>
      <c r="P579" s="22"/>
    </row>
    <row r="580" spans="11:16" s="1" customFormat="1" x14ac:dyDescent="0.25">
      <c r="K580" s="28"/>
      <c r="L580" s="28"/>
      <c r="N580" s="22"/>
      <c r="O580" s="22"/>
      <c r="P580" s="22"/>
    </row>
    <row r="581" spans="11:16" s="1" customFormat="1" x14ac:dyDescent="0.25">
      <c r="K581" s="28"/>
      <c r="L581" s="28"/>
      <c r="N581" s="22"/>
      <c r="O581" s="22"/>
      <c r="P581" s="22"/>
    </row>
    <row r="582" spans="11:16" s="1" customFormat="1" x14ac:dyDescent="0.25">
      <c r="K582" s="28"/>
      <c r="L582" s="28"/>
      <c r="N582" s="22"/>
      <c r="O582" s="22"/>
      <c r="P582" s="22"/>
    </row>
    <row r="583" spans="11:16" s="1" customFormat="1" x14ac:dyDescent="0.25">
      <c r="K583" s="28"/>
      <c r="L583" s="28"/>
      <c r="N583" s="22"/>
      <c r="O583" s="22"/>
      <c r="P583" s="22"/>
    </row>
    <row r="584" spans="11:16" s="1" customFormat="1" x14ac:dyDescent="0.25">
      <c r="K584" s="28"/>
      <c r="L584" s="28"/>
      <c r="N584" s="22"/>
      <c r="O584" s="22"/>
      <c r="P584" s="22"/>
    </row>
    <row r="585" spans="11:16" s="1" customFormat="1" x14ac:dyDescent="0.25">
      <c r="K585" s="28"/>
      <c r="L585" s="28"/>
      <c r="N585" s="22"/>
      <c r="O585" s="22"/>
      <c r="P585" s="22"/>
    </row>
    <row r="586" spans="11:16" s="1" customFormat="1" x14ac:dyDescent="0.25">
      <c r="K586" s="28"/>
      <c r="L586" s="28"/>
      <c r="N586" s="22"/>
      <c r="O586" s="22"/>
      <c r="P586" s="22"/>
    </row>
    <row r="587" spans="11:16" s="1" customFormat="1" x14ac:dyDescent="0.25">
      <c r="K587" s="28"/>
      <c r="L587" s="28"/>
      <c r="N587" s="22"/>
      <c r="O587" s="22"/>
      <c r="P587" s="22"/>
    </row>
    <row r="588" spans="11:16" s="1" customFormat="1" x14ac:dyDescent="0.25">
      <c r="K588" s="28"/>
      <c r="L588" s="28"/>
      <c r="N588" s="22"/>
      <c r="O588" s="22"/>
      <c r="P588" s="22"/>
    </row>
    <row r="589" spans="11:16" s="1" customFormat="1" x14ac:dyDescent="0.25">
      <c r="K589" s="28"/>
      <c r="L589" s="28"/>
      <c r="N589" s="22"/>
      <c r="O589" s="22"/>
      <c r="P589" s="22"/>
    </row>
    <row r="590" spans="11:16" s="1" customFormat="1" x14ac:dyDescent="0.25">
      <c r="K590" s="28"/>
      <c r="L590" s="28"/>
      <c r="N590" s="22"/>
      <c r="O590" s="22"/>
      <c r="P590" s="22"/>
    </row>
    <row r="591" spans="11:16" s="1" customFormat="1" x14ac:dyDescent="0.25">
      <c r="K591" s="28"/>
      <c r="L591" s="28"/>
      <c r="N591" s="22"/>
      <c r="O591" s="22"/>
      <c r="P591" s="22"/>
    </row>
    <row r="592" spans="11:16" s="1" customFormat="1" x14ac:dyDescent="0.25">
      <c r="K592" s="28"/>
      <c r="L592" s="28"/>
      <c r="N592" s="22"/>
      <c r="O592" s="22"/>
      <c r="P592" s="22"/>
    </row>
    <row r="593" spans="11:16" s="1" customFormat="1" x14ac:dyDescent="0.25">
      <c r="K593" s="28"/>
      <c r="L593" s="28"/>
      <c r="N593" s="22"/>
      <c r="O593" s="22"/>
      <c r="P593" s="22"/>
    </row>
    <row r="594" spans="11:16" s="1" customFormat="1" x14ac:dyDescent="0.25">
      <c r="K594" s="28"/>
      <c r="L594" s="28"/>
      <c r="N594" s="22"/>
      <c r="O594" s="22"/>
      <c r="P594" s="22"/>
    </row>
    <row r="595" spans="11:16" s="1" customFormat="1" x14ac:dyDescent="0.25">
      <c r="K595" s="28"/>
      <c r="L595" s="28"/>
      <c r="N595" s="22"/>
      <c r="O595" s="22"/>
      <c r="P595" s="22"/>
    </row>
    <row r="596" spans="11:16" s="1" customFormat="1" x14ac:dyDescent="0.25">
      <c r="K596" s="28"/>
      <c r="L596" s="28"/>
      <c r="N596" s="22"/>
      <c r="O596" s="22"/>
      <c r="P596" s="22"/>
    </row>
    <row r="597" spans="11:16" s="1" customFormat="1" x14ac:dyDescent="0.25">
      <c r="K597" s="28"/>
      <c r="L597" s="28"/>
      <c r="N597" s="22"/>
      <c r="O597" s="22"/>
      <c r="P597" s="22"/>
    </row>
    <row r="598" spans="11:16" s="1" customFormat="1" x14ac:dyDescent="0.25">
      <c r="K598" s="28"/>
      <c r="L598" s="28"/>
      <c r="N598" s="22"/>
      <c r="O598" s="22"/>
      <c r="P598" s="22"/>
    </row>
    <row r="599" spans="11:16" s="1" customFormat="1" x14ac:dyDescent="0.25">
      <c r="K599" s="28"/>
      <c r="L599" s="28"/>
      <c r="N599" s="22"/>
      <c r="O599" s="22"/>
      <c r="P599" s="22"/>
    </row>
    <row r="600" spans="11:16" s="1" customFormat="1" x14ac:dyDescent="0.25">
      <c r="K600" s="28"/>
      <c r="L600" s="28"/>
      <c r="N600" s="22"/>
      <c r="O600" s="22"/>
      <c r="P600" s="22"/>
    </row>
    <row r="601" spans="11:16" s="1" customFormat="1" x14ac:dyDescent="0.25">
      <c r="K601" s="28"/>
      <c r="L601" s="28"/>
      <c r="N601" s="22"/>
      <c r="O601" s="22"/>
      <c r="P601" s="22"/>
    </row>
    <row r="602" spans="11:16" s="1" customFormat="1" x14ac:dyDescent="0.25">
      <c r="K602" s="28"/>
      <c r="L602" s="28"/>
      <c r="N602" s="22"/>
      <c r="O602" s="22"/>
      <c r="P602" s="22"/>
    </row>
    <row r="603" spans="11:16" s="1" customFormat="1" x14ac:dyDescent="0.25">
      <c r="K603" s="28"/>
      <c r="L603" s="28"/>
      <c r="N603" s="22"/>
      <c r="O603" s="22"/>
      <c r="P603" s="22"/>
    </row>
    <row r="604" spans="11:16" s="1" customFormat="1" x14ac:dyDescent="0.25">
      <c r="K604" s="28"/>
      <c r="L604" s="28"/>
      <c r="N604" s="22"/>
      <c r="O604" s="22"/>
      <c r="P604" s="22"/>
    </row>
    <row r="605" spans="11:16" s="1" customFormat="1" x14ac:dyDescent="0.25">
      <c r="K605" s="28"/>
      <c r="L605" s="28"/>
      <c r="N605" s="22"/>
      <c r="O605" s="22"/>
      <c r="P605" s="22"/>
    </row>
    <row r="606" spans="11:16" s="1" customFormat="1" x14ac:dyDescent="0.25">
      <c r="K606" s="28"/>
      <c r="L606" s="28"/>
      <c r="N606" s="22"/>
      <c r="O606" s="22"/>
      <c r="P606" s="22"/>
    </row>
    <row r="607" spans="11:16" s="1" customFormat="1" x14ac:dyDescent="0.25">
      <c r="K607" s="28"/>
      <c r="L607" s="28"/>
      <c r="N607" s="22"/>
      <c r="O607" s="22"/>
      <c r="P607" s="22"/>
    </row>
    <row r="608" spans="11:16" s="1" customFormat="1" x14ac:dyDescent="0.25">
      <c r="K608" s="28"/>
      <c r="L608" s="28"/>
      <c r="N608" s="22"/>
      <c r="O608" s="22"/>
      <c r="P608" s="22"/>
    </row>
    <row r="609" spans="11:16" s="1" customFormat="1" x14ac:dyDescent="0.25">
      <c r="K609" s="28"/>
      <c r="L609" s="28"/>
      <c r="N609" s="22"/>
      <c r="O609" s="22"/>
      <c r="P609" s="22"/>
    </row>
    <row r="610" spans="11:16" s="1" customFormat="1" x14ac:dyDescent="0.25">
      <c r="K610" s="28"/>
      <c r="L610" s="28"/>
      <c r="N610" s="22"/>
      <c r="O610" s="22"/>
      <c r="P610" s="22"/>
    </row>
    <row r="611" spans="11:16" s="1" customFormat="1" x14ac:dyDescent="0.25">
      <c r="K611" s="28"/>
      <c r="L611" s="28"/>
      <c r="N611" s="22"/>
      <c r="O611" s="22"/>
      <c r="P611" s="22"/>
    </row>
    <row r="612" spans="11:16" s="1" customFormat="1" x14ac:dyDescent="0.25">
      <c r="K612" s="28"/>
      <c r="L612" s="28"/>
      <c r="N612" s="22"/>
      <c r="O612" s="22"/>
      <c r="P612" s="22"/>
    </row>
    <row r="613" spans="11:16" s="1" customFormat="1" x14ac:dyDescent="0.25">
      <c r="K613" s="28"/>
      <c r="L613" s="28"/>
      <c r="N613" s="22"/>
      <c r="O613" s="22"/>
      <c r="P613" s="22"/>
    </row>
    <row r="614" spans="11:16" s="1" customFormat="1" x14ac:dyDescent="0.25">
      <c r="K614" s="28"/>
      <c r="L614" s="28"/>
      <c r="N614" s="22"/>
      <c r="O614" s="22"/>
      <c r="P614" s="22"/>
    </row>
    <row r="615" spans="11:16" s="1" customFormat="1" x14ac:dyDescent="0.25">
      <c r="K615" s="28"/>
      <c r="L615" s="28"/>
      <c r="N615" s="22"/>
      <c r="O615" s="22"/>
      <c r="P615" s="22"/>
    </row>
    <row r="616" spans="11:16" s="1" customFormat="1" x14ac:dyDescent="0.25">
      <c r="K616" s="28"/>
      <c r="L616" s="28"/>
      <c r="N616" s="22"/>
      <c r="O616" s="22"/>
      <c r="P616" s="22"/>
    </row>
    <row r="617" spans="11:16" s="1" customFormat="1" x14ac:dyDescent="0.25">
      <c r="K617" s="28"/>
      <c r="L617" s="28"/>
      <c r="N617" s="22"/>
      <c r="O617" s="22"/>
      <c r="P617" s="22"/>
    </row>
    <row r="618" spans="11:16" s="1" customFormat="1" x14ac:dyDescent="0.25">
      <c r="K618" s="28"/>
      <c r="L618" s="28"/>
      <c r="N618" s="22"/>
      <c r="O618" s="22"/>
      <c r="P618" s="22"/>
    </row>
    <row r="619" spans="11:16" s="1" customFormat="1" x14ac:dyDescent="0.25">
      <c r="K619" s="28"/>
      <c r="L619" s="28"/>
      <c r="N619" s="22"/>
      <c r="O619" s="22"/>
      <c r="P619" s="22"/>
    </row>
    <row r="620" spans="11:16" s="1" customFormat="1" x14ac:dyDescent="0.25">
      <c r="K620" s="28"/>
      <c r="L620" s="28"/>
      <c r="N620" s="22"/>
      <c r="O620" s="22"/>
      <c r="P620" s="22"/>
    </row>
    <row r="621" spans="11:16" s="1" customFormat="1" x14ac:dyDescent="0.25">
      <c r="K621" s="28"/>
      <c r="L621" s="28"/>
      <c r="N621" s="22"/>
      <c r="O621" s="22"/>
      <c r="P621" s="22"/>
    </row>
    <row r="622" spans="11:16" s="1" customFormat="1" x14ac:dyDescent="0.25">
      <c r="K622" s="28"/>
      <c r="L622" s="28"/>
      <c r="N622" s="22"/>
      <c r="O622" s="22"/>
      <c r="P622" s="22"/>
    </row>
    <row r="623" spans="11:16" s="1" customFormat="1" x14ac:dyDescent="0.25">
      <c r="K623" s="28"/>
      <c r="L623" s="28"/>
      <c r="N623" s="22"/>
      <c r="O623" s="22"/>
      <c r="P623" s="22"/>
    </row>
    <row r="624" spans="11:16" s="1" customFormat="1" x14ac:dyDescent="0.25">
      <c r="K624" s="28"/>
      <c r="L624" s="28"/>
      <c r="N624" s="22"/>
      <c r="O624" s="22"/>
      <c r="P624" s="22"/>
    </row>
    <row r="625" spans="11:16" s="1" customFormat="1" x14ac:dyDescent="0.25">
      <c r="K625" s="28"/>
      <c r="L625" s="28"/>
      <c r="N625" s="22"/>
      <c r="O625" s="22"/>
      <c r="P625" s="22"/>
    </row>
    <row r="626" spans="11:16" s="1" customFormat="1" x14ac:dyDescent="0.25">
      <c r="K626" s="28"/>
      <c r="L626" s="28"/>
      <c r="N626" s="22"/>
      <c r="O626" s="22"/>
      <c r="P626" s="22"/>
    </row>
    <row r="627" spans="11:16" s="1" customFormat="1" x14ac:dyDescent="0.25">
      <c r="K627" s="28"/>
      <c r="L627" s="28"/>
      <c r="N627" s="22"/>
      <c r="O627" s="22"/>
      <c r="P627" s="22"/>
    </row>
    <row r="628" spans="11:16" s="1" customFormat="1" x14ac:dyDescent="0.25">
      <c r="K628" s="28"/>
      <c r="L628" s="28"/>
      <c r="N628" s="22"/>
      <c r="O628" s="22"/>
      <c r="P628" s="22"/>
    </row>
    <row r="629" spans="11:16" s="1" customFormat="1" x14ac:dyDescent="0.25">
      <c r="K629" s="28"/>
      <c r="L629" s="28"/>
      <c r="N629" s="22"/>
      <c r="O629" s="22"/>
      <c r="P629" s="22"/>
    </row>
    <row r="630" spans="11:16" s="1" customFormat="1" x14ac:dyDescent="0.25">
      <c r="K630" s="28"/>
      <c r="L630" s="28"/>
      <c r="N630" s="22"/>
      <c r="O630" s="22"/>
      <c r="P630" s="22"/>
    </row>
    <row r="631" spans="11:16" s="1" customFormat="1" x14ac:dyDescent="0.25">
      <c r="K631" s="28"/>
      <c r="L631" s="28"/>
      <c r="N631" s="22"/>
      <c r="O631" s="22"/>
      <c r="P631" s="22"/>
    </row>
    <row r="632" spans="11:16" s="1" customFormat="1" x14ac:dyDescent="0.25">
      <c r="K632" s="28"/>
      <c r="L632" s="28"/>
      <c r="N632" s="22"/>
      <c r="O632" s="22"/>
      <c r="P632" s="22"/>
    </row>
    <row r="633" spans="11:16" s="1" customFormat="1" x14ac:dyDescent="0.25">
      <c r="K633" s="28"/>
      <c r="L633" s="28"/>
      <c r="N633" s="22"/>
      <c r="O633" s="22"/>
      <c r="P633" s="22"/>
    </row>
    <row r="634" spans="11:16" s="1" customFormat="1" x14ac:dyDescent="0.25">
      <c r="K634" s="28"/>
      <c r="L634" s="28"/>
      <c r="N634" s="22"/>
      <c r="O634" s="22"/>
      <c r="P634" s="22"/>
    </row>
    <row r="635" spans="11:16" s="1" customFormat="1" x14ac:dyDescent="0.25">
      <c r="K635" s="28"/>
      <c r="L635" s="28"/>
      <c r="N635" s="22"/>
      <c r="O635" s="22"/>
      <c r="P635" s="22"/>
    </row>
    <row r="636" spans="11:16" s="1" customFormat="1" x14ac:dyDescent="0.25">
      <c r="K636" s="28"/>
      <c r="L636" s="28"/>
      <c r="N636" s="22"/>
      <c r="O636" s="22"/>
      <c r="P636" s="22"/>
    </row>
    <row r="637" spans="11:16" s="1" customFormat="1" x14ac:dyDescent="0.25">
      <c r="K637" s="28"/>
      <c r="L637" s="28"/>
      <c r="N637" s="22"/>
      <c r="O637" s="22"/>
      <c r="P637" s="22"/>
    </row>
    <row r="638" spans="11:16" s="1" customFormat="1" x14ac:dyDescent="0.25">
      <c r="K638" s="28"/>
      <c r="L638" s="28"/>
      <c r="N638" s="22"/>
      <c r="O638" s="22"/>
      <c r="P638" s="22"/>
    </row>
    <row r="639" spans="11:16" s="1" customFormat="1" x14ac:dyDescent="0.25">
      <c r="K639" s="28"/>
      <c r="L639" s="28"/>
      <c r="N639" s="22"/>
      <c r="O639" s="22"/>
      <c r="P639" s="22"/>
    </row>
    <row r="640" spans="11:16" s="1" customFormat="1" x14ac:dyDescent="0.25">
      <c r="K640" s="28"/>
      <c r="L640" s="28"/>
      <c r="N640" s="22"/>
      <c r="O640" s="22"/>
      <c r="P640" s="22"/>
    </row>
    <row r="641" spans="11:16" s="1" customFormat="1" x14ac:dyDescent="0.25">
      <c r="K641" s="28"/>
      <c r="L641" s="28"/>
      <c r="N641" s="22"/>
      <c r="O641" s="22"/>
      <c r="P641" s="22"/>
    </row>
    <row r="642" spans="11:16" s="1" customFormat="1" x14ac:dyDescent="0.25">
      <c r="K642" s="28"/>
      <c r="L642" s="28"/>
      <c r="N642" s="22"/>
      <c r="O642" s="22"/>
      <c r="P642" s="22"/>
    </row>
    <row r="643" spans="11:16" s="1" customFormat="1" x14ac:dyDescent="0.25">
      <c r="K643" s="28"/>
      <c r="L643" s="28"/>
      <c r="N643" s="22"/>
      <c r="O643" s="22"/>
      <c r="P643" s="22"/>
    </row>
    <row r="644" spans="11:16" s="1" customFormat="1" x14ac:dyDescent="0.25">
      <c r="K644" s="28"/>
      <c r="L644" s="28"/>
      <c r="N644" s="22"/>
      <c r="O644" s="22"/>
      <c r="P644" s="22"/>
    </row>
    <row r="645" spans="11:16" s="1" customFormat="1" x14ac:dyDescent="0.25">
      <c r="K645" s="28"/>
      <c r="L645" s="28"/>
      <c r="N645" s="22"/>
      <c r="O645" s="22"/>
      <c r="P645" s="22"/>
    </row>
    <row r="646" spans="11:16" s="1" customFormat="1" x14ac:dyDescent="0.25">
      <c r="K646" s="28"/>
      <c r="L646" s="28"/>
      <c r="N646" s="22"/>
      <c r="O646" s="22"/>
      <c r="P646" s="22"/>
    </row>
    <row r="647" spans="11:16" s="1" customFormat="1" x14ac:dyDescent="0.25">
      <c r="K647" s="28"/>
      <c r="L647" s="28"/>
      <c r="N647" s="22"/>
      <c r="O647" s="22"/>
      <c r="P647" s="22"/>
    </row>
    <row r="648" spans="11:16" s="1" customFormat="1" x14ac:dyDescent="0.25">
      <c r="K648" s="28"/>
      <c r="L648" s="28"/>
      <c r="N648" s="22"/>
      <c r="O648" s="22"/>
      <c r="P648" s="22"/>
    </row>
    <row r="649" spans="11:16" s="1" customFormat="1" x14ac:dyDescent="0.25">
      <c r="K649" s="28"/>
      <c r="L649" s="28"/>
      <c r="N649" s="22"/>
      <c r="O649" s="22"/>
      <c r="P649" s="22"/>
    </row>
    <row r="650" spans="11:16" s="1" customFormat="1" x14ac:dyDescent="0.25">
      <c r="K650" s="28"/>
      <c r="L650" s="28"/>
      <c r="N650" s="22"/>
      <c r="O650" s="22"/>
      <c r="P650" s="22"/>
    </row>
    <row r="651" spans="11:16" s="1" customFormat="1" x14ac:dyDescent="0.25">
      <c r="K651" s="28"/>
      <c r="L651" s="28"/>
      <c r="N651" s="22"/>
      <c r="O651" s="22"/>
      <c r="P651" s="22"/>
    </row>
    <row r="652" spans="11:16" s="1" customFormat="1" x14ac:dyDescent="0.25">
      <c r="K652" s="28"/>
      <c r="L652" s="28"/>
      <c r="N652" s="22"/>
      <c r="O652" s="22"/>
      <c r="P652" s="22"/>
    </row>
    <row r="653" spans="11:16" s="1" customFormat="1" x14ac:dyDescent="0.25">
      <c r="K653" s="28"/>
      <c r="L653" s="28"/>
      <c r="N653" s="22"/>
      <c r="O653" s="22"/>
      <c r="P653" s="22"/>
    </row>
    <row r="654" spans="11:16" s="1" customFormat="1" x14ac:dyDescent="0.25">
      <c r="K654" s="28"/>
      <c r="L654" s="28"/>
      <c r="N654" s="22"/>
      <c r="O654" s="22"/>
      <c r="P654" s="22"/>
    </row>
    <row r="655" spans="11:16" s="1" customFormat="1" x14ac:dyDescent="0.25">
      <c r="K655" s="28"/>
      <c r="L655" s="28"/>
      <c r="N655" s="22"/>
      <c r="O655" s="22"/>
      <c r="P655" s="22"/>
    </row>
    <row r="656" spans="11:16" s="1" customFormat="1" x14ac:dyDescent="0.25">
      <c r="K656" s="28"/>
      <c r="L656" s="28"/>
      <c r="N656" s="22"/>
      <c r="O656" s="22"/>
      <c r="P656" s="22"/>
    </row>
    <row r="657" spans="11:16" s="1" customFormat="1" x14ac:dyDescent="0.25">
      <c r="K657" s="28"/>
      <c r="L657" s="28"/>
      <c r="N657" s="22"/>
      <c r="O657" s="22"/>
      <c r="P657" s="22"/>
    </row>
    <row r="658" spans="11:16" s="1" customFormat="1" x14ac:dyDescent="0.25">
      <c r="K658" s="28"/>
      <c r="L658" s="28"/>
      <c r="N658" s="22"/>
      <c r="O658" s="22"/>
      <c r="P658" s="22"/>
    </row>
    <row r="659" spans="11:16" s="1" customFormat="1" x14ac:dyDescent="0.25">
      <c r="K659" s="28"/>
      <c r="L659" s="28"/>
      <c r="N659" s="22"/>
      <c r="O659" s="22"/>
      <c r="P659" s="22"/>
    </row>
    <row r="660" spans="11:16" s="1" customFormat="1" x14ac:dyDescent="0.25">
      <c r="K660" s="28"/>
      <c r="L660" s="28"/>
      <c r="N660" s="22"/>
      <c r="O660" s="22"/>
      <c r="P660" s="22"/>
    </row>
    <row r="661" spans="11:16" s="1" customFormat="1" x14ac:dyDescent="0.25">
      <c r="K661" s="28"/>
      <c r="L661" s="28"/>
      <c r="N661" s="22"/>
      <c r="O661" s="22"/>
      <c r="P661" s="22"/>
    </row>
    <row r="662" spans="11:16" s="1" customFormat="1" x14ac:dyDescent="0.25">
      <c r="K662" s="28"/>
      <c r="L662" s="28"/>
      <c r="N662" s="22"/>
      <c r="O662" s="22"/>
      <c r="P662" s="22"/>
    </row>
    <row r="663" spans="11:16" s="1" customFormat="1" x14ac:dyDescent="0.25">
      <c r="K663" s="28"/>
      <c r="L663" s="28"/>
      <c r="N663" s="22"/>
      <c r="O663" s="22"/>
      <c r="P663" s="22"/>
    </row>
    <row r="664" spans="11:16" s="1" customFormat="1" x14ac:dyDescent="0.25">
      <c r="K664" s="28"/>
      <c r="L664" s="28"/>
      <c r="N664" s="22"/>
      <c r="O664" s="22"/>
      <c r="P664" s="22"/>
    </row>
    <row r="665" spans="11:16" s="1" customFormat="1" x14ac:dyDescent="0.25">
      <c r="K665" s="28"/>
      <c r="L665" s="28"/>
      <c r="N665" s="22"/>
      <c r="O665" s="22"/>
      <c r="P665" s="22"/>
    </row>
    <row r="666" spans="11:16" s="1" customFormat="1" x14ac:dyDescent="0.25">
      <c r="K666" s="28"/>
      <c r="L666" s="28"/>
      <c r="N666" s="22"/>
      <c r="O666" s="22"/>
      <c r="P666" s="22"/>
    </row>
    <row r="667" spans="11:16" s="1" customFormat="1" x14ac:dyDescent="0.25">
      <c r="K667" s="28"/>
      <c r="L667" s="28"/>
      <c r="N667" s="22"/>
      <c r="O667" s="22"/>
      <c r="P667" s="22"/>
    </row>
    <row r="668" spans="11:16" s="1" customFormat="1" x14ac:dyDescent="0.25">
      <c r="K668" s="28"/>
      <c r="L668" s="28"/>
      <c r="N668" s="22"/>
      <c r="O668" s="22"/>
      <c r="P668" s="22"/>
    </row>
    <row r="669" spans="11:16" s="1" customFormat="1" x14ac:dyDescent="0.25">
      <c r="K669" s="28"/>
      <c r="L669" s="28"/>
      <c r="N669" s="22"/>
      <c r="O669" s="22"/>
      <c r="P669" s="22"/>
    </row>
    <row r="670" spans="11:16" s="1" customFormat="1" x14ac:dyDescent="0.25">
      <c r="K670" s="28"/>
      <c r="L670" s="28"/>
      <c r="N670" s="22"/>
      <c r="O670" s="22"/>
      <c r="P670" s="22"/>
    </row>
    <row r="671" spans="11:16" s="1" customFormat="1" x14ac:dyDescent="0.25">
      <c r="K671" s="28"/>
      <c r="L671" s="28"/>
      <c r="N671" s="22"/>
      <c r="O671" s="22"/>
      <c r="P671" s="22"/>
    </row>
    <row r="672" spans="11:16" s="1" customFormat="1" x14ac:dyDescent="0.25">
      <c r="K672" s="28"/>
      <c r="L672" s="28"/>
      <c r="N672" s="22"/>
      <c r="O672" s="22"/>
      <c r="P672" s="22"/>
    </row>
    <row r="673" spans="11:16" s="1" customFormat="1" x14ac:dyDescent="0.25">
      <c r="K673" s="28"/>
      <c r="L673" s="28"/>
      <c r="N673" s="22"/>
      <c r="O673" s="22"/>
      <c r="P673" s="22"/>
    </row>
    <row r="674" spans="11:16" s="1" customFormat="1" x14ac:dyDescent="0.25">
      <c r="K674" s="28"/>
      <c r="L674" s="28"/>
      <c r="N674" s="22"/>
      <c r="O674" s="22"/>
      <c r="P674" s="22"/>
    </row>
    <row r="675" spans="11:16" s="1" customFormat="1" x14ac:dyDescent="0.25">
      <c r="K675" s="28"/>
      <c r="L675" s="28"/>
      <c r="N675" s="22"/>
      <c r="O675" s="22"/>
      <c r="P675" s="22"/>
    </row>
    <row r="676" spans="11:16" s="1" customFormat="1" x14ac:dyDescent="0.25">
      <c r="K676" s="28"/>
      <c r="L676" s="28"/>
      <c r="N676" s="22"/>
      <c r="O676" s="22"/>
      <c r="P676" s="22"/>
    </row>
    <row r="677" spans="11:16" s="1" customFormat="1" x14ac:dyDescent="0.25">
      <c r="K677" s="28"/>
      <c r="L677" s="28"/>
      <c r="N677" s="22"/>
      <c r="O677" s="22"/>
      <c r="P677" s="22"/>
    </row>
    <row r="678" spans="11:16" s="1" customFormat="1" x14ac:dyDescent="0.25">
      <c r="K678" s="28"/>
      <c r="L678" s="28"/>
      <c r="N678" s="22"/>
      <c r="O678" s="22"/>
      <c r="P678" s="22"/>
    </row>
    <row r="679" spans="11:16" s="1" customFormat="1" x14ac:dyDescent="0.25">
      <c r="K679" s="28"/>
      <c r="L679" s="28"/>
      <c r="N679" s="22"/>
      <c r="O679" s="22"/>
      <c r="P679" s="22"/>
    </row>
    <row r="680" spans="11:16" s="1" customFormat="1" x14ac:dyDescent="0.25">
      <c r="K680" s="28"/>
      <c r="L680" s="28"/>
      <c r="N680" s="22"/>
      <c r="O680" s="22"/>
      <c r="P680" s="22"/>
    </row>
    <row r="681" spans="11:16" s="1" customFormat="1" x14ac:dyDescent="0.25">
      <c r="K681" s="28"/>
      <c r="L681" s="28"/>
      <c r="N681" s="22"/>
      <c r="O681" s="22"/>
      <c r="P681" s="22"/>
    </row>
    <row r="682" spans="11:16" s="1" customFormat="1" x14ac:dyDescent="0.25">
      <c r="K682" s="28"/>
      <c r="L682" s="28"/>
      <c r="N682" s="22"/>
      <c r="O682" s="22"/>
      <c r="P682" s="22"/>
    </row>
    <row r="683" spans="11:16" s="1" customFormat="1" x14ac:dyDescent="0.25">
      <c r="K683" s="28"/>
      <c r="L683" s="28"/>
      <c r="N683" s="22"/>
      <c r="O683" s="22"/>
      <c r="P683" s="22"/>
    </row>
    <row r="684" spans="11:16" s="1" customFormat="1" x14ac:dyDescent="0.25">
      <c r="K684" s="28"/>
      <c r="L684" s="28"/>
      <c r="N684" s="22"/>
      <c r="O684" s="22"/>
      <c r="P684" s="22"/>
    </row>
    <row r="685" spans="11:16" s="1" customFormat="1" x14ac:dyDescent="0.25">
      <c r="K685" s="28"/>
      <c r="L685" s="28"/>
      <c r="N685" s="22"/>
      <c r="O685" s="22"/>
      <c r="P685" s="22"/>
    </row>
    <row r="686" spans="11:16" s="1" customFormat="1" x14ac:dyDescent="0.25">
      <c r="K686" s="28"/>
      <c r="L686" s="28"/>
      <c r="N686" s="22"/>
      <c r="O686" s="22"/>
      <c r="P686" s="22"/>
    </row>
    <row r="687" spans="11:16" s="1" customFormat="1" x14ac:dyDescent="0.25">
      <c r="K687" s="28"/>
      <c r="L687" s="28"/>
      <c r="N687" s="22"/>
      <c r="O687" s="22"/>
      <c r="P687" s="22"/>
    </row>
    <row r="688" spans="11:16" s="1" customFormat="1" x14ac:dyDescent="0.25">
      <c r="K688" s="28"/>
      <c r="L688" s="28"/>
      <c r="N688" s="22"/>
      <c r="O688" s="22"/>
      <c r="P688" s="22"/>
    </row>
    <row r="689" spans="11:16" s="1" customFormat="1" x14ac:dyDescent="0.25">
      <c r="K689" s="28"/>
      <c r="L689" s="28"/>
      <c r="N689" s="22"/>
      <c r="O689" s="22"/>
      <c r="P689" s="22"/>
    </row>
    <row r="690" spans="11:16" s="1" customFormat="1" x14ac:dyDescent="0.25">
      <c r="K690" s="28"/>
      <c r="L690" s="28"/>
      <c r="N690" s="22"/>
      <c r="O690" s="22"/>
      <c r="P690" s="22"/>
    </row>
    <row r="691" spans="11:16" s="1" customFormat="1" x14ac:dyDescent="0.25">
      <c r="K691" s="28"/>
      <c r="L691" s="28"/>
      <c r="N691" s="22"/>
      <c r="O691" s="22"/>
      <c r="P691" s="22"/>
    </row>
    <row r="692" spans="11:16" s="1" customFormat="1" x14ac:dyDescent="0.25">
      <c r="K692" s="28"/>
      <c r="L692" s="28"/>
      <c r="N692" s="22"/>
      <c r="O692" s="22"/>
      <c r="P692" s="22"/>
    </row>
    <row r="693" spans="11:16" s="1" customFormat="1" x14ac:dyDescent="0.25">
      <c r="K693" s="28"/>
      <c r="L693" s="28"/>
      <c r="N693" s="22"/>
      <c r="O693" s="22"/>
      <c r="P693" s="22"/>
    </row>
    <row r="694" spans="11:16" s="1" customFormat="1" x14ac:dyDescent="0.25">
      <c r="K694" s="28"/>
      <c r="L694" s="28"/>
      <c r="N694" s="22"/>
      <c r="O694" s="22"/>
      <c r="P694" s="22"/>
    </row>
    <row r="695" spans="11:16" s="1" customFormat="1" x14ac:dyDescent="0.25">
      <c r="K695" s="28"/>
      <c r="L695" s="28"/>
      <c r="N695" s="22"/>
      <c r="O695" s="22"/>
      <c r="P695" s="22"/>
    </row>
    <row r="696" spans="11:16" s="1" customFormat="1" x14ac:dyDescent="0.25">
      <c r="K696" s="28"/>
      <c r="L696" s="28"/>
      <c r="N696" s="22"/>
      <c r="O696" s="22"/>
      <c r="P696" s="22"/>
    </row>
    <row r="697" spans="11:16" s="1" customFormat="1" x14ac:dyDescent="0.25">
      <c r="K697" s="28"/>
      <c r="L697" s="28"/>
      <c r="N697" s="22"/>
      <c r="O697" s="22"/>
      <c r="P697" s="22"/>
    </row>
    <row r="698" spans="11:16" s="1" customFormat="1" x14ac:dyDescent="0.25">
      <c r="K698" s="28"/>
      <c r="L698" s="28"/>
      <c r="N698" s="22"/>
      <c r="O698" s="22"/>
      <c r="P698" s="22"/>
    </row>
    <row r="699" spans="11:16" s="1" customFormat="1" x14ac:dyDescent="0.25">
      <c r="K699" s="28"/>
      <c r="L699" s="28"/>
      <c r="N699" s="22"/>
      <c r="O699" s="22"/>
      <c r="P699" s="22"/>
    </row>
    <row r="700" spans="11:16" s="1" customFormat="1" x14ac:dyDescent="0.25">
      <c r="K700" s="28"/>
      <c r="L700" s="28"/>
      <c r="N700" s="22"/>
      <c r="O700" s="22"/>
      <c r="P700" s="22"/>
    </row>
    <row r="701" spans="11:16" s="1" customFormat="1" x14ac:dyDescent="0.25">
      <c r="K701" s="28"/>
      <c r="L701" s="28"/>
      <c r="N701" s="22"/>
      <c r="O701" s="22"/>
      <c r="P701" s="22"/>
    </row>
    <row r="702" spans="11:16" s="1" customFormat="1" x14ac:dyDescent="0.25">
      <c r="K702" s="28"/>
      <c r="L702" s="28"/>
      <c r="N702" s="22"/>
      <c r="O702" s="22"/>
      <c r="P702" s="22"/>
    </row>
    <row r="703" spans="11:16" s="1" customFormat="1" x14ac:dyDescent="0.25">
      <c r="K703" s="28"/>
      <c r="L703" s="28"/>
      <c r="N703" s="22"/>
      <c r="O703" s="22"/>
      <c r="P703" s="22"/>
    </row>
    <row r="704" spans="11:16" s="1" customFormat="1" x14ac:dyDescent="0.25">
      <c r="K704" s="28"/>
      <c r="L704" s="28"/>
      <c r="N704" s="22"/>
      <c r="O704" s="22"/>
      <c r="P704" s="22"/>
    </row>
    <row r="705" spans="11:16" s="1" customFormat="1" x14ac:dyDescent="0.25">
      <c r="K705" s="28"/>
      <c r="L705" s="28"/>
      <c r="N705" s="22"/>
      <c r="O705" s="22"/>
      <c r="P705" s="22"/>
    </row>
    <row r="706" spans="11:16" s="1" customFormat="1" x14ac:dyDescent="0.25">
      <c r="K706" s="28"/>
      <c r="L706" s="28"/>
      <c r="N706" s="22"/>
      <c r="O706" s="22"/>
      <c r="P706" s="22"/>
    </row>
    <row r="707" spans="11:16" s="1" customFormat="1" x14ac:dyDescent="0.25">
      <c r="K707" s="28"/>
      <c r="L707" s="28"/>
      <c r="N707" s="22"/>
      <c r="O707" s="22"/>
      <c r="P707" s="22"/>
    </row>
    <row r="708" spans="11:16" s="1" customFormat="1" x14ac:dyDescent="0.25">
      <c r="K708" s="28"/>
      <c r="L708" s="28"/>
      <c r="N708" s="22"/>
      <c r="O708" s="22"/>
      <c r="P708" s="22"/>
    </row>
    <row r="709" spans="11:16" s="1" customFormat="1" x14ac:dyDescent="0.25">
      <c r="K709" s="28"/>
      <c r="L709" s="28"/>
      <c r="N709" s="22"/>
      <c r="O709" s="22"/>
      <c r="P709" s="22"/>
    </row>
    <row r="710" spans="11:16" s="1" customFormat="1" x14ac:dyDescent="0.25">
      <c r="K710" s="28"/>
      <c r="L710" s="28"/>
      <c r="N710" s="22"/>
      <c r="O710" s="22"/>
      <c r="P710" s="22"/>
    </row>
    <row r="711" spans="11:16" s="1" customFormat="1" x14ac:dyDescent="0.25">
      <c r="K711" s="28"/>
      <c r="L711" s="28"/>
      <c r="N711" s="22"/>
      <c r="O711" s="22"/>
      <c r="P711" s="22"/>
    </row>
    <row r="712" spans="11:16" s="1" customFormat="1" x14ac:dyDescent="0.25">
      <c r="K712" s="28"/>
      <c r="L712" s="28"/>
      <c r="N712" s="22"/>
      <c r="O712" s="22"/>
      <c r="P712" s="22"/>
    </row>
    <row r="713" spans="11:16" s="1" customFormat="1" x14ac:dyDescent="0.25">
      <c r="K713" s="28"/>
      <c r="L713" s="28"/>
      <c r="N713" s="22"/>
      <c r="O713" s="22"/>
      <c r="P713" s="22"/>
    </row>
    <row r="714" spans="11:16" s="1" customFormat="1" x14ac:dyDescent="0.25">
      <c r="K714" s="28"/>
      <c r="L714" s="28"/>
      <c r="N714" s="22"/>
      <c r="O714" s="22"/>
      <c r="P714" s="22"/>
    </row>
    <row r="715" spans="11:16" s="1" customFormat="1" x14ac:dyDescent="0.25">
      <c r="K715" s="28"/>
      <c r="L715" s="28"/>
      <c r="N715" s="22"/>
      <c r="O715" s="22"/>
      <c r="P715" s="22"/>
    </row>
    <row r="716" spans="11:16" s="1" customFormat="1" x14ac:dyDescent="0.25">
      <c r="K716" s="28"/>
      <c r="L716" s="28"/>
      <c r="N716" s="22"/>
      <c r="O716" s="22"/>
      <c r="P716" s="22"/>
    </row>
    <row r="717" spans="11:16" s="1" customFormat="1" x14ac:dyDescent="0.25">
      <c r="K717" s="28"/>
      <c r="L717" s="28"/>
      <c r="N717" s="22"/>
      <c r="O717" s="22"/>
      <c r="P717" s="22"/>
    </row>
    <row r="718" spans="11:16" s="1" customFormat="1" x14ac:dyDescent="0.25">
      <c r="K718" s="28"/>
      <c r="L718" s="28"/>
      <c r="N718" s="22"/>
      <c r="O718" s="22"/>
      <c r="P718" s="22"/>
    </row>
    <row r="719" spans="11:16" s="1" customFormat="1" x14ac:dyDescent="0.25">
      <c r="K719" s="28"/>
      <c r="L719" s="28"/>
      <c r="N719" s="22"/>
      <c r="O719" s="22"/>
      <c r="P719" s="22"/>
    </row>
    <row r="720" spans="11:16" s="1" customFormat="1" x14ac:dyDescent="0.25">
      <c r="K720" s="28"/>
      <c r="L720" s="28"/>
      <c r="N720" s="22"/>
      <c r="O720" s="22"/>
      <c r="P720" s="22"/>
    </row>
    <row r="721" spans="11:16" s="1" customFormat="1" x14ac:dyDescent="0.25">
      <c r="K721" s="28"/>
      <c r="L721" s="28"/>
      <c r="N721" s="22"/>
      <c r="O721" s="22"/>
      <c r="P721" s="22"/>
    </row>
    <row r="722" spans="11:16" s="1" customFormat="1" x14ac:dyDescent="0.25">
      <c r="K722" s="28"/>
      <c r="L722" s="28"/>
      <c r="N722" s="22"/>
      <c r="O722" s="22"/>
      <c r="P722" s="22"/>
    </row>
    <row r="723" spans="11:16" s="1" customFormat="1" x14ac:dyDescent="0.25">
      <c r="K723" s="28"/>
      <c r="L723" s="28"/>
      <c r="N723" s="22"/>
      <c r="O723" s="22"/>
      <c r="P723" s="22"/>
    </row>
    <row r="724" spans="11:16" s="1" customFormat="1" x14ac:dyDescent="0.25">
      <c r="K724" s="28"/>
      <c r="L724" s="28"/>
      <c r="N724" s="22"/>
      <c r="O724" s="22"/>
      <c r="P724" s="22"/>
    </row>
    <row r="725" spans="11:16" s="1" customFormat="1" x14ac:dyDescent="0.25">
      <c r="K725" s="28"/>
      <c r="L725" s="28"/>
      <c r="N725" s="22"/>
      <c r="O725" s="22"/>
      <c r="P725" s="22"/>
    </row>
    <row r="726" spans="11:16" s="1" customFormat="1" x14ac:dyDescent="0.25">
      <c r="K726" s="28"/>
      <c r="L726" s="28"/>
      <c r="N726" s="22"/>
      <c r="O726" s="22"/>
      <c r="P726" s="22"/>
    </row>
    <row r="727" spans="11:16" s="1" customFormat="1" x14ac:dyDescent="0.25">
      <c r="K727" s="28"/>
      <c r="L727" s="28"/>
      <c r="N727" s="22"/>
      <c r="O727" s="22"/>
      <c r="P727" s="22"/>
    </row>
    <row r="728" spans="11:16" s="1" customFormat="1" x14ac:dyDescent="0.25">
      <c r="K728" s="28"/>
      <c r="L728" s="28"/>
      <c r="N728" s="22"/>
      <c r="O728" s="22"/>
      <c r="P728" s="22"/>
    </row>
    <row r="729" spans="11:16" s="1" customFormat="1" x14ac:dyDescent="0.25">
      <c r="K729" s="28"/>
      <c r="L729" s="28"/>
      <c r="N729" s="22"/>
      <c r="O729" s="22"/>
      <c r="P729" s="22"/>
    </row>
    <row r="730" spans="11:16" s="1" customFormat="1" x14ac:dyDescent="0.25">
      <c r="K730" s="28"/>
      <c r="L730" s="28"/>
      <c r="N730" s="22"/>
      <c r="O730" s="22"/>
      <c r="P730" s="22"/>
    </row>
    <row r="731" spans="11:16" s="1" customFormat="1" x14ac:dyDescent="0.25">
      <c r="K731" s="28"/>
      <c r="L731" s="28"/>
      <c r="N731" s="22"/>
      <c r="O731" s="22"/>
      <c r="P731" s="22"/>
    </row>
    <row r="732" spans="11:16" s="1" customFormat="1" x14ac:dyDescent="0.25">
      <c r="K732" s="28"/>
      <c r="L732" s="28"/>
      <c r="N732" s="22"/>
      <c r="O732" s="22"/>
      <c r="P732" s="22"/>
    </row>
    <row r="733" spans="11:16" s="1" customFormat="1" x14ac:dyDescent="0.25">
      <c r="K733" s="28"/>
      <c r="L733" s="28"/>
      <c r="N733" s="22"/>
      <c r="O733" s="22"/>
      <c r="P733" s="22"/>
    </row>
    <row r="734" spans="11:16" s="1" customFormat="1" x14ac:dyDescent="0.25">
      <c r="K734" s="28"/>
      <c r="L734" s="28"/>
      <c r="N734" s="22"/>
      <c r="O734" s="22"/>
      <c r="P734" s="22"/>
    </row>
    <row r="735" spans="11:16" s="1" customFormat="1" x14ac:dyDescent="0.25">
      <c r="K735" s="28"/>
      <c r="L735" s="28"/>
      <c r="N735" s="22"/>
      <c r="O735" s="22"/>
      <c r="P735" s="22"/>
    </row>
    <row r="736" spans="11:16" s="1" customFormat="1" x14ac:dyDescent="0.25">
      <c r="K736" s="28"/>
      <c r="L736" s="28"/>
      <c r="N736" s="22"/>
      <c r="O736" s="22"/>
      <c r="P736" s="22"/>
    </row>
    <row r="737" spans="11:16" s="1" customFormat="1" x14ac:dyDescent="0.25">
      <c r="K737" s="28"/>
      <c r="L737" s="28"/>
      <c r="N737" s="22"/>
      <c r="O737" s="22"/>
      <c r="P737" s="22"/>
    </row>
    <row r="738" spans="11:16" s="1" customFormat="1" x14ac:dyDescent="0.25">
      <c r="K738" s="28"/>
      <c r="L738" s="28"/>
      <c r="N738" s="22"/>
      <c r="O738" s="22"/>
      <c r="P738" s="22"/>
    </row>
    <row r="739" spans="11:16" s="1" customFormat="1" x14ac:dyDescent="0.25">
      <c r="K739" s="28"/>
      <c r="L739" s="28"/>
      <c r="N739" s="22"/>
      <c r="O739" s="22"/>
      <c r="P739" s="22"/>
    </row>
    <row r="740" spans="11:16" s="1" customFormat="1" x14ac:dyDescent="0.25">
      <c r="K740" s="28"/>
      <c r="L740" s="28"/>
      <c r="N740" s="22"/>
      <c r="O740" s="22"/>
      <c r="P740" s="22"/>
    </row>
    <row r="741" spans="11:16" s="1" customFormat="1" x14ac:dyDescent="0.25">
      <c r="K741" s="28"/>
      <c r="L741" s="28"/>
      <c r="N741" s="22"/>
      <c r="O741" s="22"/>
      <c r="P741" s="22"/>
    </row>
    <row r="742" spans="11:16" s="1" customFormat="1" x14ac:dyDescent="0.25">
      <c r="K742" s="28"/>
      <c r="L742" s="28"/>
      <c r="N742" s="22"/>
      <c r="O742" s="22"/>
      <c r="P742" s="22"/>
    </row>
    <row r="743" spans="11:16" s="1" customFormat="1" x14ac:dyDescent="0.25">
      <c r="K743" s="28"/>
      <c r="L743" s="28"/>
      <c r="N743" s="22"/>
      <c r="O743" s="22"/>
      <c r="P743" s="22"/>
    </row>
    <row r="744" spans="11:16" s="1" customFormat="1" x14ac:dyDescent="0.25">
      <c r="K744" s="28"/>
      <c r="L744" s="28"/>
      <c r="N744" s="22"/>
      <c r="O744" s="22"/>
      <c r="P744" s="22"/>
    </row>
    <row r="745" spans="11:16" s="1" customFormat="1" x14ac:dyDescent="0.25">
      <c r="K745" s="28"/>
      <c r="L745" s="28"/>
      <c r="N745" s="22"/>
      <c r="O745" s="22"/>
      <c r="P745" s="22"/>
    </row>
    <row r="746" spans="11:16" s="1" customFormat="1" x14ac:dyDescent="0.25">
      <c r="K746" s="28"/>
      <c r="L746" s="28"/>
      <c r="N746" s="22"/>
      <c r="O746" s="22"/>
      <c r="P746" s="22"/>
    </row>
    <row r="747" spans="11:16" s="1" customFormat="1" x14ac:dyDescent="0.25">
      <c r="K747" s="28"/>
      <c r="L747" s="28"/>
      <c r="N747" s="22"/>
      <c r="O747" s="22"/>
      <c r="P747" s="22"/>
    </row>
    <row r="748" spans="11:16" s="1" customFormat="1" x14ac:dyDescent="0.25">
      <c r="K748" s="28"/>
      <c r="L748" s="28"/>
      <c r="N748" s="22"/>
      <c r="O748" s="22"/>
      <c r="P748" s="22"/>
    </row>
    <row r="749" spans="11:16" s="1" customFormat="1" x14ac:dyDescent="0.25">
      <c r="K749" s="28"/>
      <c r="L749" s="28"/>
      <c r="N749" s="22"/>
      <c r="O749" s="22"/>
      <c r="P749" s="22"/>
    </row>
    <row r="750" spans="11:16" s="1" customFormat="1" x14ac:dyDescent="0.25">
      <c r="K750" s="28"/>
      <c r="L750" s="28"/>
      <c r="N750" s="22"/>
      <c r="O750" s="22"/>
      <c r="P750" s="22"/>
    </row>
    <row r="751" spans="11:16" s="1" customFormat="1" x14ac:dyDescent="0.25">
      <c r="K751" s="28"/>
      <c r="L751" s="28"/>
      <c r="N751" s="22"/>
      <c r="O751" s="22"/>
      <c r="P751" s="22"/>
    </row>
    <row r="752" spans="11:16" s="1" customFormat="1" x14ac:dyDescent="0.25">
      <c r="K752" s="28"/>
      <c r="L752" s="28"/>
      <c r="N752" s="22"/>
      <c r="O752" s="22"/>
      <c r="P752" s="22"/>
    </row>
    <row r="753" spans="11:16" s="1" customFormat="1" x14ac:dyDescent="0.25">
      <c r="K753" s="28"/>
      <c r="L753" s="28"/>
      <c r="N753" s="22"/>
      <c r="O753" s="22"/>
      <c r="P753" s="22"/>
    </row>
    <row r="754" spans="11:16" s="1" customFormat="1" x14ac:dyDescent="0.25">
      <c r="K754" s="28"/>
      <c r="L754" s="28"/>
      <c r="N754" s="22"/>
      <c r="O754" s="22"/>
      <c r="P754" s="22"/>
    </row>
    <row r="755" spans="11:16" s="1" customFormat="1" x14ac:dyDescent="0.25">
      <c r="K755" s="28"/>
      <c r="L755" s="28"/>
      <c r="N755" s="22"/>
      <c r="O755" s="22"/>
      <c r="P755" s="22"/>
    </row>
    <row r="756" spans="11:16" s="1" customFormat="1" x14ac:dyDescent="0.25">
      <c r="K756" s="28"/>
      <c r="L756" s="28"/>
      <c r="N756" s="22"/>
      <c r="O756" s="22"/>
      <c r="P756" s="22"/>
    </row>
    <row r="757" spans="11:16" s="1" customFormat="1" x14ac:dyDescent="0.25">
      <c r="K757" s="28"/>
      <c r="L757" s="28"/>
      <c r="N757" s="22"/>
      <c r="O757" s="22"/>
      <c r="P757" s="22"/>
    </row>
    <row r="758" spans="11:16" s="1" customFormat="1" x14ac:dyDescent="0.25">
      <c r="K758" s="28"/>
      <c r="L758" s="28"/>
      <c r="N758" s="22"/>
      <c r="O758" s="22"/>
      <c r="P758" s="22"/>
    </row>
    <row r="759" spans="11:16" s="1" customFormat="1" x14ac:dyDescent="0.25">
      <c r="K759" s="28"/>
      <c r="L759" s="28"/>
      <c r="N759" s="22"/>
      <c r="O759" s="22"/>
      <c r="P759" s="22"/>
    </row>
    <row r="760" spans="11:16" s="1" customFormat="1" x14ac:dyDescent="0.25">
      <c r="K760" s="28"/>
      <c r="L760" s="28"/>
      <c r="N760" s="22"/>
      <c r="O760" s="22"/>
      <c r="P760" s="22"/>
    </row>
    <row r="761" spans="11:16" s="1" customFormat="1" x14ac:dyDescent="0.25">
      <c r="K761" s="28"/>
      <c r="L761" s="28"/>
      <c r="N761" s="22"/>
      <c r="O761" s="22"/>
      <c r="P761" s="22"/>
    </row>
    <row r="762" spans="11:16" s="1" customFormat="1" x14ac:dyDescent="0.25">
      <c r="K762" s="28"/>
      <c r="L762" s="28"/>
      <c r="N762" s="22"/>
      <c r="O762" s="22"/>
      <c r="P762" s="22"/>
    </row>
    <row r="763" spans="11:16" s="1" customFormat="1" x14ac:dyDescent="0.25">
      <c r="K763" s="28"/>
      <c r="L763" s="28"/>
      <c r="N763" s="22"/>
      <c r="O763" s="22"/>
      <c r="P763" s="22"/>
    </row>
    <row r="764" spans="11:16" s="1" customFormat="1" x14ac:dyDescent="0.25">
      <c r="K764" s="28"/>
      <c r="L764" s="28"/>
      <c r="N764" s="22"/>
      <c r="O764" s="22"/>
      <c r="P764" s="22"/>
    </row>
    <row r="765" spans="11:16" s="1" customFormat="1" x14ac:dyDescent="0.25">
      <c r="K765" s="28"/>
      <c r="L765" s="28"/>
      <c r="N765" s="22"/>
      <c r="O765" s="22"/>
      <c r="P765" s="22"/>
    </row>
    <row r="766" spans="11:16" s="1" customFormat="1" x14ac:dyDescent="0.25">
      <c r="K766" s="28"/>
      <c r="L766" s="28"/>
      <c r="N766" s="22"/>
      <c r="O766" s="22"/>
      <c r="P766" s="22"/>
    </row>
    <row r="767" spans="11:16" s="1" customFormat="1" x14ac:dyDescent="0.25">
      <c r="K767" s="28"/>
      <c r="L767" s="28"/>
      <c r="N767" s="22"/>
      <c r="O767" s="22"/>
      <c r="P767" s="22"/>
    </row>
    <row r="768" spans="11:16" s="1" customFormat="1" x14ac:dyDescent="0.25">
      <c r="K768" s="28"/>
      <c r="L768" s="28"/>
      <c r="N768" s="22"/>
      <c r="O768" s="22"/>
      <c r="P768" s="22"/>
    </row>
    <row r="769" spans="11:16" s="1" customFormat="1" x14ac:dyDescent="0.25">
      <c r="K769" s="28"/>
      <c r="L769" s="28"/>
      <c r="N769" s="22"/>
      <c r="O769" s="22"/>
      <c r="P769" s="22"/>
    </row>
    <row r="770" spans="11:16" s="1" customFormat="1" x14ac:dyDescent="0.25">
      <c r="K770" s="28"/>
      <c r="L770" s="28"/>
      <c r="N770" s="22"/>
      <c r="O770" s="22"/>
      <c r="P770" s="22"/>
    </row>
    <row r="771" spans="11:16" s="1" customFormat="1" x14ac:dyDescent="0.25">
      <c r="K771" s="28"/>
      <c r="L771" s="28"/>
      <c r="N771" s="22"/>
      <c r="O771" s="22"/>
      <c r="P771" s="22"/>
    </row>
    <row r="772" spans="11:16" s="1" customFormat="1" x14ac:dyDescent="0.25">
      <c r="K772" s="28"/>
      <c r="L772" s="28"/>
      <c r="N772" s="22"/>
      <c r="O772" s="22"/>
      <c r="P772" s="22"/>
    </row>
    <row r="773" spans="11:16" s="1" customFormat="1" x14ac:dyDescent="0.25">
      <c r="K773" s="28"/>
      <c r="L773" s="28"/>
      <c r="N773" s="22"/>
      <c r="O773" s="22"/>
      <c r="P773" s="22"/>
    </row>
    <row r="774" spans="11:16" s="1" customFormat="1" x14ac:dyDescent="0.25">
      <c r="K774" s="28"/>
      <c r="L774" s="28"/>
      <c r="N774" s="22"/>
      <c r="O774" s="22"/>
      <c r="P774" s="22"/>
    </row>
    <row r="775" spans="11:16" s="1" customFormat="1" x14ac:dyDescent="0.25">
      <c r="K775" s="28"/>
      <c r="L775" s="28"/>
      <c r="N775" s="22"/>
      <c r="O775" s="22"/>
      <c r="P775" s="22"/>
    </row>
    <row r="776" spans="11:16" s="1" customFormat="1" x14ac:dyDescent="0.25">
      <c r="K776" s="28"/>
      <c r="L776" s="28"/>
      <c r="N776" s="22"/>
      <c r="O776" s="22"/>
      <c r="P776" s="22"/>
    </row>
    <row r="777" spans="11:16" s="1" customFormat="1" x14ac:dyDescent="0.25">
      <c r="K777" s="28"/>
      <c r="L777" s="28"/>
      <c r="N777" s="22"/>
      <c r="O777" s="22"/>
      <c r="P777" s="22"/>
    </row>
    <row r="778" spans="11:16" s="1" customFormat="1" x14ac:dyDescent="0.25">
      <c r="K778" s="28"/>
      <c r="L778" s="28"/>
      <c r="N778" s="22"/>
      <c r="O778" s="22"/>
      <c r="P778" s="22"/>
    </row>
    <row r="779" spans="11:16" s="1" customFormat="1" x14ac:dyDescent="0.25">
      <c r="K779" s="28"/>
      <c r="L779" s="28"/>
      <c r="N779" s="22"/>
      <c r="O779" s="22"/>
      <c r="P779" s="22"/>
    </row>
    <row r="780" spans="11:16" s="1" customFormat="1" x14ac:dyDescent="0.25">
      <c r="K780" s="28"/>
      <c r="L780" s="28"/>
      <c r="N780" s="22"/>
      <c r="O780" s="22"/>
      <c r="P780" s="22"/>
    </row>
    <row r="781" spans="11:16" s="1" customFormat="1" x14ac:dyDescent="0.25">
      <c r="K781" s="28"/>
      <c r="L781" s="28"/>
      <c r="N781" s="22"/>
      <c r="O781" s="22"/>
      <c r="P781" s="22"/>
    </row>
    <row r="782" spans="11:16" s="1" customFormat="1" x14ac:dyDescent="0.25">
      <c r="K782" s="28"/>
      <c r="L782" s="28"/>
      <c r="N782" s="22"/>
      <c r="O782" s="22"/>
      <c r="P782" s="22"/>
    </row>
    <row r="783" spans="11:16" s="1" customFormat="1" x14ac:dyDescent="0.25">
      <c r="K783" s="28"/>
      <c r="L783" s="28"/>
      <c r="N783" s="22"/>
      <c r="O783" s="22"/>
      <c r="P783" s="22"/>
    </row>
    <row r="784" spans="11:16" s="1" customFormat="1" x14ac:dyDescent="0.25">
      <c r="K784" s="28"/>
      <c r="L784" s="28"/>
      <c r="N784" s="22"/>
      <c r="O784" s="22"/>
      <c r="P784" s="22"/>
    </row>
    <row r="785" spans="11:16" s="1" customFormat="1" x14ac:dyDescent="0.25">
      <c r="K785" s="28"/>
      <c r="L785" s="28"/>
      <c r="N785" s="22"/>
      <c r="O785" s="22"/>
      <c r="P785" s="22"/>
    </row>
    <row r="786" spans="11:16" s="1" customFormat="1" x14ac:dyDescent="0.25">
      <c r="K786" s="28"/>
      <c r="L786" s="28"/>
      <c r="N786" s="22"/>
      <c r="O786" s="22"/>
      <c r="P786" s="22"/>
    </row>
    <row r="787" spans="11:16" s="1" customFormat="1" x14ac:dyDescent="0.25">
      <c r="K787" s="28"/>
      <c r="L787" s="28"/>
      <c r="N787" s="22"/>
      <c r="O787" s="22"/>
      <c r="P787" s="22"/>
    </row>
    <row r="788" spans="11:16" s="1" customFormat="1" x14ac:dyDescent="0.25">
      <c r="K788" s="28"/>
      <c r="L788" s="28"/>
      <c r="N788" s="22"/>
      <c r="O788" s="22"/>
      <c r="P788" s="22"/>
    </row>
    <row r="789" spans="11:16" s="1" customFormat="1" x14ac:dyDescent="0.25">
      <c r="K789" s="28"/>
      <c r="L789" s="28"/>
      <c r="N789" s="22"/>
      <c r="O789" s="22"/>
      <c r="P789" s="22"/>
    </row>
    <row r="790" spans="11:16" s="1" customFormat="1" x14ac:dyDescent="0.25">
      <c r="K790" s="28"/>
      <c r="L790" s="28"/>
      <c r="N790" s="22"/>
      <c r="O790" s="22"/>
      <c r="P790" s="22"/>
    </row>
    <row r="791" spans="11:16" s="1" customFormat="1" x14ac:dyDescent="0.25">
      <c r="K791" s="28"/>
      <c r="L791" s="28"/>
      <c r="N791" s="22"/>
      <c r="O791" s="22"/>
      <c r="P791" s="22"/>
    </row>
    <row r="792" spans="11:16" s="1" customFormat="1" x14ac:dyDescent="0.25">
      <c r="K792" s="28"/>
      <c r="L792" s="28"/>
      <c r="N792" s="22"/>
      <c r="O792" s="22"/>
      <c r="P792" s="22"/>
    </row>
    <row r="793" spans="11:16" s="1" customFormat="1" x14ac:dyDescent="0.25">
      <c r="K793" s="28"/>
      <c r="L793" s="28"/>
      <c r="N793" s="22"/>
      <c r="O793" s="22"/>
      <c r="P793" s="22"/>
    </row>
    <row r="794" spans="11:16" s="1" customFormat="1" x14ac:dyDescent="0.25">
      <c r="K794" s="28"/>
      <c r="L794" s="28"/>
      <c r="N794" s="22"/>
      <c r="O794" s="22"/>
      <c r="P794" s="22"/>
    </row>
    <row r="795" spans="11:16" s="1" customFormat="1" x14ac:dyDescent="0.25">
      <c r="K795" s="28"/>
      <c r="L795" s="28"/>
      <c r="N795" s="22"/>
      <c r="O795" s="22"/>
      <c r="P795" s="22"/>
    </row>
    <row r="796" spans="11:16" s="1" customFormat="1" x14ac:dyDescent="0.25">
      <c r="K796" s="28"/>
      <c r="L796" s="28"/>
      <c r="N796" s="22"/>
      <c r="O796" s="22"/>
      <c r="P796" s="22"/>
    </row>
    <row r="797" spans="11:16" s="1" customFormat="1" x14ac:dyDescent="0.25">
      <c r="K797" s="28"/>
      <c r="L797" s="28"/>
      <c r="N797" s="22"/>
      <c r="O797" s="22"/>
      <c r="P797" s="22"/>
    </row>
    <row r="798" spans="11:16" s="1" customFormat="1" x14ac:dyDescent="0.25">
      <c r="K798" s="28"/>
      <c r="L798" s="28"/>
      <c r="N798" s="22"/>
      <c r="O798" s="22"/>
      <c r="P798" s="22"/>
    </row>
    <row r="799" spans="11:16" s="1" customFormat="1" x14ac:dyDescent="0.25">
      <c r="K799" s="28"/>
      <c r="L799" s="28"/>
      <c r="N799" s="22"/>
      <c r="O799" s="22"/>
      <c r="P799" s="22"/>
    </row>
    <row r="800" spans="11:16" s="1" customFormat="1" x14ac:dyDescent="0.25">
      <c r="K800" s="28"/>
      <c r="L800" s="28"/>
      <c r="N800" s="22"/>
      <c r="O800" s="22"/>
      <c r="P800" s="22"/>
    </row>
    <row r="801" spans="11:16" s="1" customFormat="1" x14ac:dyDescent="0.25">
      <c r="K801" s="28"/>
      <c r="L801" s="28"/>
      <c r="N801" s="22"/>
      <c r="O801" s="22"/>
      <c r="P801" s="22"/>
    </row>
    <row r="802" spans="11:16" s="1" customFormat="1" x14ac:dyDescent="0.25">
      <c r="K802" s="28"/>
      <c r="L802" s="28"/>
      <c r="N802" s="22"/>
      <c r="O802" s="22"/>
      <c r="P802" s="22"/>
    </row>
    <row r="803" spans="11:16" s="1" customFormat="1" x14ac:dyDescent="0.25">
      <c r="K803" s="28"/>
      <c r="L803" s="28"/>
      <c r="N803" s="22"/>
      <c r="O803" s="22"/>
      <c r="P803" s="22"/>
    </row>
    <row r="804" spans="11:16" s="1" customFormat="1" x14ac:dyDescent="0.25">
      <c r="K804" s="28"/>
      <c r="L804" s="28"/>
      <c r="N804" s="22"/>
      <c r="O804" s="22"/>
      <c r="P804" s="22"/>
    </row>
    <row r="805" spans="11:16" s="1" customFormat="1" x14ac:dyDescent="0.25">
      <c r="K805" s="28"/>
      <c r="L805" s="28"/>
      <c r="N805" s="22"/>
      <c r="O805" s="22"/>
      <c r="P805" s="22"/>
    </row>
    <row r="806" spans="11:16" s="1" customFormat="1" x14ac:dyDescent="0.25">
      <c r="K806" s="28"/>
      <c r="L806" s="28"/>
      <c r="N806" s="22"/>
      <c r="O806" s="22"/>
      <c r="P806" s="22"/>
    </row>
    <row r="807" spans="11:16" s="1" customFormat="1" x14ac:dyDescent="0.25">
      <c r="K807" s="28"/>
      <c r="L807" s="28"/>
      <c r="N807" s="22"/>
      <c r="O807" s="22"/>
      <c r="P807" s="22"/>
    </row>
    <row r="808" spans="11:16" s="1" customFormat="1" x14ac:dyDescent="0.25">
      <c r="K808" s="28"/>
      <c r="L808" s="28"/>
      <c r="N808" s="22"/>
      <c r="O808" s="22"/>
      <c r="P808" s="22"/>
    </row>
    <row r="809" spans="11:16" s="1" customFormat="1" x14ac:dyDescent="0.25">
      <c r="K809" s="28"/>
      <c r="L809" s="28"/>
      <c r="N809" s="22"/>
      <c r="O809" s="22"/>
      <c r="P809" s="22"/>
    </row>
    <row r="810" spans="11:16" s="1" customFormat="1" x14ac:dyDescent="0.25">
      <c r="K810" s="28"/>
      <c r="L810" s="28"/>
      <c r="N810" s="22"/>
      <c r="O810" s="22"/>
      <c r="P810" s="22"/>
    </row>
    <row r="811" spans="11:16" s="1" customFormat="1" x14ac:dyDescent="0.25">
      <c r="K811" s="28"/>
      <c r="L811" s="28"/>
      <c r="N811" s="22"/>
      <c r="O811" s="22"/>
      <c r="P811" s="22"/>
    </row>
    <row r="812" spans="11:16" s="1" customFormat="1" x14ac:dyDescent="0.25">
      <c r="K812" s="28"/>
      <c r="L812" s="28"/>
      <c r="N812" s="22"/>
      <c r="O812" s="22"/>
      <c r="P812" s="22"/>
    </row>
    <row r="813" spans="11:16" s="1" customFormat="1" x14ac:dyDescent="0.25">
      <c r="K813" s="28"/>
      <c r="L813" s="28"/>
      <c r="N813" s="22"/>
      <c r="O813" s="22"/>
      <c r="P813" s="22"/>
    </row>
    <row r="814" spans="11:16" s="1" customFormat="1" x14ac:dyDescent="0.25">
      <c r="K814" s="28"/>
      <c r="L814" s="28"/>
      <c r="N814" s="22"/>
      <c r="O814" s="22"/>
      <c r="P814" s="22"/>
    </row>
    <row r="815" spans="11:16" s="1" customFormat="1" x14ac:dyDescent="0.25">
      <c r="K815" s="28"/>
      <c r="L815" s="28"/>
      <c r="N815" s="22"/>
      <c r="O815" s="22"/>
      <c r="P815" s="22"/>
    </row>
    <row r="816" spans="11:16" s="1" customFormat="1" x14ac:dyDescent="0.25">
      <c r="K816" s="28"/>
      <c r="L816" s="28"/>
      <c r="N816" s="22"/>
      <c r="O816" s="22"/>
      <c r="P816" s="22"/>
    </row>
    <row r="817" spans="11:16" s="1" customFormat="1" x14ac:dyDescent="0.25">
      <c r="K817" s="28"/>
      <c r="L817" s="28"/>
      <c r="N817" s="22"/>
      <c r="O817" s="22"/>
      <c r="P817" s="22"/>
    </row>
    <row r="818" spans="11:16" s="1" customFormat="1" x14ac:dyDescent="0.25">
      <c r="K818" s="28"/>
      <c r="L818" s="28"/>
      <c r="N818" s="22"/>
      <c r="O818" s="22"/>
      <c r="P818" s="22"/>
    </row>
    <row r="819" spans="11:16" s="1" customFormat="1" x14ac:dyDescent="0.25">
      <c r="K819" s="28"/>
      <c r="L819" s="28"/>
      <c r="N819" s="22"/>
      <c r="O819" s="22"/>
      <c r="P819" s="22"/>
    </row>
    <row r="820" spans="11:16" s="1" customFormat="1" x14ac:dyDescent="0.25">
      <c r="K820" s="28"/>
      <c r="L820" s="28"/>
      <c r="N820" s="22"/>
      <c r="O820" s="22"/>
      <c r="P820" s="22"/>
    </row>
    <row r="821" spans="11:16" s="1" customFormat="1" x14ac:dyDescent="0.25">
      <c r="K821" s="28"/>
      <c r="L821" s="28"/>
      <c r="N821" s="22"/>
      <c r="O821" s="22"/>
      <c r="P821" s="22"/>
    </row>
    <row r="822" spans="11:16" s="1" customFormat="1" x14ac:dyDescent="0.25">
      <c r="K822" s="28"/>
      <c r="L822" s="28"/>
      <c r="N822" s="22"/>
      <c r="O822" s="22"/>
      <c r="P822" s="22"/>
    </row>
    <row r="823" spans="11:16" s="1" customFormat="1" x14ac:dyDescent="0.25">
      <c r="K823" s="28"/>
      <c r="L823" s="28"/>
      <c r="N823" s="22"/>
      <c r="O823" s="22"/>
      <c r="P823" s="22"/>
    </row>
    <row r="824" spans="11:16" s="1" customFormat="1" x14ac:dyDescent="0.25">
      <c r="K824" s="28"/>
      <c r="L824" s="28"/>
      <c r="N824" s="22"/>
      <c r="O824" s="22"/>
      <c r="P824" s="22"/>
    </row>
    <row r="825" spans="11:16" s="1" customFormat="1" x14ac:dyDescent="0.25">
      <c r="K825" s="28"/>
      <c r="L825" s="28"/>
      <c r="N825" s="22"/>
      <c r="O825" s="22"/>
      <c r="P825" s="22"/>
    </row>
    <row r="826" spans="11:16" s="1" customFormat="1" x14ac:dyDescent="0.25">
      <c r="K826" s="28"/>
      <c r="L826" s="28"/>
      <c r="N826" s="22"/>
      <c r="O826" s="22"/>
      <c r="P826" s="22"/>
    </row>
    <row r="827" spans="11:16" s="1" customFormat="1" x14ac:dyDescent="0.25">
      <c r="K827" s="28"/>
      <c r="L827" s="28"/>
      <c r="N827" s="22"/>
      <c r="O827" s="22"/>
      <c r="P827" s="22"/>
    </row>
    <row r="828" spans="11:16" s="1" customFormat="1" x14ac:dyDescent="0.25">
      <c r="K828" s="28"/>
      <c r="L828" s="28"/>
      <c r="N828" s="22"/>
      <c r="O828" s="22"/>
      <c r="P828" s="22"/>
    </row>
    <row r="829" spans="11:16" s="1" customFormat="1" x14ac:dyDescent="0.25">
      <c r="K829" s="28"/>
      <c r="L829" s="28"/>
      <c r="N829" s="22"/>
      <c r="O829" s="22"/>
      <c r="P829" s="22"/>
    </row>
    <row r="830" spans="11:16" s="1" customFormat="1" x14ac:dyDescent="0.25">
      <c r="K830" s="28"/>
      <c r="L830" s="28"/>
      <c r="N830" s="22"/>
      <c r="O830" s="22"/>
      <c r="P830" s="22"/>
    </row>
    <row r="831" spans="11:16" s="1" customFormat="1" x14ac:dyDescent="0.25">
      <c r="K831" s="28"/>
      <c r="L831" s="28"/>
      <c r="N831" s="22"/>
      <c r="O831" s="22"/>
      <c r="P831" s="22"/>
    </row>
    <row r="832" spans="11:16" s="1" customFormat="1" x14ac:dyDescent="0.25">
      <c r="K832" s="28"/>
      <c r="L832" s="28"/>
      <c r="N832" s="22"/>
      <c r="O832" s="22"/>
      <c r="P832" s="22"/>
    </row>
    <row r="833" spans="11:16" s="1" customFormat="1" x14ac:dyDescent="0.25">
      <c r="K833" s="28"/>
      <c r="L833" s="28"/>
      <c r="N833" s="22"/>
      <c r="O833" s="22"/>
      <c r="P833" s="22"/>
    </row>
    <row r="834" spans="11:16" s="1" customFormat="1" x14ac:dyDescent="0.25">
      <c r="K834" s="28"/>
      <c r="L834" s="28"/>
      <c r="N834" s="22"/>
      <c r="O834" s="22"/>
      <c r="P834" s="22"/>
    </row>
    <row r="835" spans="11:16" s="1" customFormat="1" x14ac:dyDescent="0.25">
      <c r="K835" s="28"/>
      <c r="L835" s="28"/>
      <c r="N835" s="22"/>
      <c r="O835" s="22"/>
      <c r="P835" s="22"/>
    </row>
    <row r="836" spans="11:16" s="1" customFormat="1" x14ac:dyDescent="0.25">
      <c r="K836" s="28"/>
      <c r="L836" s="28"/>
      <c r="N836" s="22"/>
      <c r="O836" s="22"/>
      <c r="P836" s="22"/>
    </row>
    <row r="837" spans="11:16" s="1" customFormat="1" x14ac:dyDescent="0.25">
      <c r="K837" s="28"/>
      <c r="L837" s="28"/>
      <c r="N837" s="22"/>
      <c r="O837" s="22"/>
      <c r="P837" s="22"/>
    </row>
    <row r="838" spans="11:16" s="1" customFormat="1" x14ac:dyDescent="0.25">
      <c r="K838" s="28"/>
      <c r="L838" s="28"/>
      <c r="N838" s="22"/>
      <c r="O838" s="22"/>
      <c r="P838" s="22"/>
    </row>
    <row r="839" spans="11:16" s="1" customFormat="1" x14ac:dyDescent="0.25">
      <c r="K839" s="28"/>
      <c r="L839" s="28"/>
      <c r="N839" s="22"/>
      <c r="O839" s="22"/>
      <c r="P839" s="22"/>
    </row>
    <row r="840" spans="11:16" s="1" customFormat="1" x14ac:dyDescent="0.25">
      <c r="K840" s="28"/>
      <c r="L840" s="28"/>
      <c r="N840" s="22"/>
      <c r="O840" s="22"/>
      <c r="P840" s="22"/>
    </row>
    <row r="841" spans="11:16" s="1" customFormat="1" x14ac:dyDescent="0.25">
      <c r="K841" s="28"/>
      <c r="L841" s="28"/>
      <c r="N841" s="22"/>
      <c r="O841" s="22"/>
      <c r="P841" s="22"/>
    </row>
    <row r="842" spans="11:16" s="1" customFormat="1" x14ac:dyDescent="0.25">
      <c r="K842" s="28"/>
      <c r="L842" s="28"/>
      <c r="N842" s="22"/>
      <c r="O842" s="22"/>
      <c r="P842" s="22"/>
    </row>
    <row r="843" spans="11:16" s="1" customFormat="1" x14ac:dyDescent="0.25">
      <c r="K843" s="28"/>
      <c r="L843" s="28"/>
      <c r="N843" s="22"/>
      <c r="O843" s="22"/>
      <c r="P843" s="22"/>
    </row>
    <row r="844" spans="11:16" s="1" customFormat="1" x14ac:dyDescent="0.25">
      <c r="K844" s="28"/>
      <c r="L844" s="28"/>
      <c r="N844" s="22"/>
      <c r="O844" s="22"/>
      <c r="P844" s="22"/>
    </row>
    <row r="845" spans="11:16" s="1" customFormat="1" x14ac:dyDescent="0.25">
      <c r="K845" s="28"/>
      <c r="L845" s="28"/>
      <c r="N845" s="22"/>
      <c r="O845" s="22"/>
      <c r="P845" s="22"/>
    </row>
    <row r="846" spans="11:16" s="1" customFormat="1" x14ac:dyDescent="0.25">
      <c r="K846" s="28"/>
      <c r="L846" s="28"/>
      <c r="N846" s="22"/>
      <c r="O846" s="22"/>
      <c r="P846" s="22"/>
    </row>
    <row r="847" spans="11:16" s="1" customFormat="1" x14ac:dyDescent="0.25">
      <c r="K847" s="28"/>
      <c r="L847" s="28"/>
      <c r="N847" s="22"/>
      <c r="O847" s="22"/>
      <c r="P847" s="22"/>
    </row>
    <row r="848" spans="11:16" s="1" customFormat="1" x14ac:dyDescent="0.25">
      <c r="K848" s="28"/>
      <c r="L848" s="28"/>
      <c r="N848" s="22"/>
      <c r="O848" s="22"/>
      <c r="P848" s="22"/>
    </row>
    <row r="849" spans="11:16" s="1" customFormat="1" x14ac:dyDescent="0.25">
      <c r="K849" s="28"/>
      <c r="L849" s="28"/>
      <c r="N849" s="22"/>
      <c r="O849" s="22"/>
      <c r="P849" s="22"/>
    </row>
    <row r="850" spans="11:16" s="1" customFormat="1" x14ac:dyDescent="0.25">
      <c r="K850" s="28"/>
      <c r="L850" s="28"/>
      <c r="N850" s="22"/>
      <c r="O850" s="22"/>
      <c r="P850" s="22"/>
    </row>
    <row r="851" spans="11:16" s="1" customFormat="1" x14ac:dyDescent="0.25">
      <c r="K851" s="28"/>
      <c r="L851" s="28"/>
      <c r="N851" s="22"/>
      <c r="O851" s="22"/>
      <c r="P851" s="22"/>
    </row>
    <row r="852" spans="11:16" s="1" customFormat="1" x14ac:dyDescent="0.25">
      <c r="K852" s="28"/>
      <c r="L852" s="28"/>
      <c r="N852" s="22"/>
      <c r="O852" s="22"/>
      <c r="P852" s="22"/>
    </row>
    <row r="853" spans="11:16" s="1" customFormat="1" x14ac:dyDescent="0.25">
      <c r="K853" s="28"/>
      <c r="L853" s="28"/>
      <c r="N853" s="22"/>
      <c r="O853" s="22"/>
      <c r="P853" s="22"/>
    </row>
    <row r="854" spans="11:16" s="1" customFormat="1" x14ac:dyDescent="0.25">
      <c r="K854" s="28"/>
      <c r="L854" s="28"/>
      <c r="N854" s="22"/>
      <c r="O854" s="22"/>
      <c r="P854" s="22"/>
    </row>
    <row r="855" spans="11:16" s="1" customFormat="1" x14ac:dyDescent="0.25">
      <c r="K855" s="28"/>
      <c r="L855" s="28"/>
      <c r="N855" s="22"/>
      <c r="O855" s="22"/>
      <c r="P855" s="22"/>
    </row>
    <row r="856" spans="11:16" s="1" customFormat="1" x14ac:dyDescent="0.25">
      <c r="K856" s="28"/>
      <c r="L856" s="28"/>
      <c r="N856" s="22"/>
      <c r="O856" s="22"/>
      <c r="P856" s="22"/>
    </row>
    <row r="857" spans="11:16" s="1" customFormat="1" x14ac:dyDescent="0.25">
      <c r="K857" s="28"/>
      <c r="L857" s="28"/>
      <c r="N857" s="22"/>
      <c r="O857" s="22"/>
      <c r="P857" s="22"/>
    </row>
    <row r="858" spans="11:16" s="1" customFormat="1" x14ac:dyDescent="0.25">
      <c r="K858" s="28"/>
      <c r="L858" s="28"/>
      <c r="N858" s="22"/>
      <c r="O858" s="22"/>
      <c r="P858" s="22"/>
    </row>
    <row r="859" spans="11:16" s="1" customFormat="1" x14ac:dyDescent="0.25">
      <c r="K859" s="28"/>
      <c r="L859" s="28"/>
      <c r="N859" s="22"/>
      <c r="O859" s="22"/>
      <c r="P859" s="22"/>
    </row>
    <row r="860" spans="11:16" s="1" customFormat="1" x14ac:dyDescent="0.25">
      <c r="K860" s="28"/>
      <c r="L860" s="28"/>
      <c r="N860" s="22"/>
      <c r="O860" s="22"/>
      <c r="P860" s="22"/>
    </row>
    <row r="861" spans="11:16" s="1" customFormat="1" x14ac:dyDescent="0.25">
      <c r="K861" s="28"/>
      <c r="L861" s="28"/>
      <c r="N861" s="22"/>
      <c r="O861" s="22"/>
      <c r="P861" s="22"/>
    </row>
    <row r="862" spans="11:16" s="1" customFormat="1" x14ac:dyDescent="0.25">
      <c r="K862" s="28"/>
      <c r="L862" s="28"/>
      <c r="N862" s="22"/>
      <c r="O862" s="22"/>
      <c r="P862" s="22"/>
    </row>
    <row r="863" spans="11:16" s="1" customFormat="1" x14ac:dyDescent="0.25">
      <c r="K863" s="28"/>
      <c r="L863" s="28"/>
      <c r="N863" s="22"/>
      <c r="O863" s="22"/>
      <c r="P863" s="22"/>
    </row>
    <row r="864" spans="11:16" s="1" customFormat="1" x14ac:dyDescent="0.25">
      <c r="K864" s="28"/>
      <c r="L864" s="28"/>
      <c r="N864" s="22"/>
      <c r="O864" s="22"/>
      <c r="P864" s="22"/>
    </row>
    <row r="865" spans="11:16" s="1" customFormat="1" x14ac:dyDescent="0.25">
      <c r="K865" s="28"/>
      <c r="L865" s="28"/>
      <c r="N865" s="22"/>
      <c r="O865" s="22"/>
      <c r="P865" s="22"/>
    </row>
    <row r="866" spans="11:16" s="1" customFormat="1" x14ac:dyDescent="0.25">
      <c r="K866" s="28"/>
      <c r="L866" s="28"/>
      <c r="N866" s="22"/>
      <c r="O866" s="22"/>
      <c r="P866" s="22"/>
    </row>
    <row r="867" spans="11:16" s="1" customFormat="1" x14ac:dyDescent="0.25">
      <c r="K867" s="28"/>
      <c r="L867" s="28"/>
      <c r="N867" s="22"/>
      <c r="O867" s="22"/>
      <c r="P867" s="22"/>
    </row>
    <row r="868" spans="11:16" s="1" customFormat="1" x14ac:dyDescent="0.25">
      <c r="K868" s="28"/>
      <c r="L868" s="28"/>
      <c r="N868" s="22"/>
      <c r="O868" s="22"/>
      <c r="P868" s="22"/>
    </row>
    <row r="869" spans="11:16" s="1" customFormat="1" x14ac:dyDescent="0.25">
      <c r="K869" s="28"/>
      <c r="L869" s="28"/>
      <c r="N869" s="22"/>
      <c r="O869" s="22"/>
      <c r="P869" s="22"/>
    </row>
    <row r="870" spans="11:16" s="1" customFormat="1" x14ac:dyDescent="0.25">
      <c r="K870" s="28"/>
      <c r="L870" s="28"/>
      <c r="N870" s="22"/>
      <c r="O870" s="22"/>
      <c r="P870" s="22"/>
    </row>
    <row r="871" spans="11:16" s="1" customFormat="1" x14ac:dyDescent="0.25">
      <c r="K871" s="28"/>
      <c r="L871" s="28"/>
      <c r="N871" s="22"/>
      <c r="O871" s="22"/>
      <c r="P871" s="22"/>
    </row>
    <row r="872" spans="11:16" s="1" customFormat="1" x14ac:dyDescent="0.25">
      <c r="K872" s="28"/>
      <c r="L872" s="28"/>
      <c r="N872" s="22"/>
      <c r="O872" s="22"/>
      <c r="P872" s="22"/>
    </row>
    <row r="873" spans="11:16" s="1" customFormat="1" x14ac:dyDescent="0.25">
      <c r="K873" s="28"/>
      <c r="L873" s="28"/>
      <c r="N873" s="22"/>
      <c r="O873" s="22"/>
      <c r="P873" s="22"/>
    </row>
    <row r="874" spans="11:16" s="1" customFormat="1" x14ac:dyDescent="0.25">
      <c r="K874" s="28"/>
      <c r="L874" s="28"/>
      <c r="N874" s="22"/>
      <c r="O874" s="22"/>
      <c r="P874" s="22"/>
    </row>
    <row r="875" spans="11:16" s="1" customFormat="1" x14ac:dyDescent="0.25">
      <c r="K875" s="28"/>
      <c r="L875" s="28"/>
      <c r="N875" s="22"/>
      <c r="O875" s="22"/>
      <c r="P875" s="22"/>
    </row>
    <row r="876" spans="11:16" s="1" customFormat="1" x14ac:dyDescent="0.25">
      <c r="K876" s="28"/>
      <c r="L876" s="28"/>
      <c r="N876" s="22"/>
      <c r="O876" s="22"/>
      <c r="P876" s="22"/>
    </row>
    <row r="877" spans="11:16" s="1" customFormat="1" x14ac:dyDescent="0.25">
      <c r="K877" s="28"/>
      <c r="L877" s="28"/>
      <c r="N877" s="22"/>
      <c r="O877" s="22"/>
      <c r="P877" s="22"/>
    </row>
    <row r="878" spans="11:16" s="1" customFormat="1" x14ac:dyDescent="0.25">
      <c r="K878" s="28"/>
      <c r="L878" s="28"/>
      <c r="N878" s="22"/>
      <c r="O878" s="22"/>
      <c r="P878" s="22"/>
    </row>
    <row r="879" spans="11:16" s="1" customFormat="1" x14ac:dyDescent="0.25">
      <c r="K879" s="28"/>
      <c r="L879" s="28"/>
      <c r="N879" s="22"/>
      <c r="O879" s="22"/>
      <c r="P879" s="22"/>
    </row>
    <row r="880" spans="11:16" s="1" customFormat="1" x14ac:dyDescent="0.25">
      <c r="K880" s="28"/>
      <c r="L880" s="28"/>
      <c r="N880" s="22"/>
      <c r="O880" s="22"/>
      <c r="P880" s="22"/>
    </row>
    <row r="881" spans="11:16" s="1" customFormat="1" x14ac:dyDescent="0.25">
      <c r="K881" s="28"/>
      <c r="L881" s="28"/>
      <c r="N881" s="22"/>
      <c r="O881" s="22"/>
      <c r="P881" s="22"/>
    </row>
    <row r="882" spans="11:16" s="1" customFormat="1" x14ac:dyDescent="0.25">
      <c r="K882" s="28"/>
      <c r="L882" s="28"/>
      <c r="N882" s="22"/>
      <c r="O882" s="22"/>
      <c r="P882" s="22"/>
    </row>
    <row r="883" spans="11:16" s="1" customFormat="1" x14ac:dyDescent="0.25">
      <c r="K883" s="28"/>
      <c r="L883" s="28"/>
      <c r="N883" s="22"/>
      <c r="O883" s="22"/>
      <c r="P883" s="22"/>
    </row>
    <row r="884" spans="11:16" s="1" customFormat="1" x14ac:dyDescent="0.25">
      <c r="K884" s="28"/>
      <c r="L884" s="28"/>
      <c r="N884" s="22"/>
      <c r="O884" s="22"/>
      <c r="P884" s="22"/>
    </row>
    <row r="885" spans="11:16" s="1" customFormat="1" x14ac:dyDescent="0.25">
      <c r="K885" s="28"/>
      <c r="L885" s="28"/>
      <c r="N885" s="22"/>
      <c r="O885" s="22"/>
      <c r="P885" s="22"/>
    </row>
    <row r="886" spans="11:16" s="1" customFormat="1" x14ac:dyDescent="0.25">
      <c r="K886" s="28"/>
      <c r="L886" s="28"/>
      <c r="N886" s="22"/>
      <c r="O886" s="22"/>
      <c r="P886" s="22"/>
    </row>
    <row r="887" spans="11:16" s="1" customFormat="1" x14ac:dyDescent="0.25">
      <c r="K887" s="28"/>
      <c r="L887" s="28"/>
      <c r="N887" s="22"/>
      <c r="O887" s="22"/>
      <c r="P887" s="22"/>
    </row>
    <row r="888" spans="11:16" s="1" customFormat="1" x14ac:dyDescent="0.25">
      <c r="K888" s="28"/>
      <c r="L888" s="28"/>
      <c r="N888" s="22"/>
      <c r="O888" s="22"/>
      <c r="P888" s="22"/>
    </row>
    <row r="889" spans="11:16" s="1" customFormat="1" x14ac:dyDescent="0.25">
      <c r="K889" s="28"/>
      <c r="L889" s="28"/>
      <c r="N889" s="22"/>
      <c r="O889" s="22"/>
      <c r="P889" s="22"/>
    </row>
    <row r="890" spans="11:16" s="1" customFormat="1" x14ac:dyDescent="0.25">
      <c r="K890" s="28"/>
      <c r="L890" s="28"/>
      <c r="N890" s="22"/>
      <c r="O890" s="22"/>
      <c r="P890" s="22"/>
    </row>
    <row r="891" spans="11:16" s="1" customFormat="1" x14ac:dyDescent="0.25">
      <c r="K891" s="28"/>
      <c r="L891" s="28"/>
      <c r="N891" s="22"/>
      <c r="O891" s="22"/>
      <c r="P891" s="22"/>
    </row>
    <row r="892" spans="11:16" s="1" customFormat="1" x14ac:dyDescent="0.25">
      <c r="K892" s="28"/>
      <c r="L892" s="28"/>
      <c r="N892" s="22"/>
      <c r="O892" s="22"/>
      <c r="P892" s="22"/>
    </row>
    <row r="893" spans="11:16" s="1" customFormat="1" x14ac:dyDescent="0.25">
      <c r="K893" s="28"/>
      <c r="L893" s="28"/>
      <c r="N893" s="22"/>
      <c r="O893" s="22"/>
      <c r="P893" s="22"/>
    </row>
    <row r="894" spans="11:16" s="1" customFormat="1" x14ac:dyDescent="0.25">
      <c r="K894" s="28"/>
      <c r="L894" s="28"/>
      <c r="N894" s="22"/>
      <c r="O894" s="22"/>
      <c r="P894" s="22"/>
    </row>
    <row r="895" spans="11:16" s="1" customFormat="1" x14ac:dyDescent="0.25">
      <c r="K895" s="28"/>
      <c r="L895" s="28"/>
      <c r="N895" s="22"/>
      <c r="O895" s="22"/>
      <c r="P895" s="22"/>
    </row>
    <row r="896" spans="11:16" s="1" customFormat="1" x14ac:dyDescent="0.25">
      <c r="K896" s="28"/>
      <c r="L896" s="28"/>
      <c r="N896" s="22"/>
      <c r="O896" s="22"/>
      <c r="P896" s="22"/>
    </row>
    <row r="897" spans="11:16" s="1" customFormat="1" x14ac:dyDescent="0.25">
      <c r="K897" s="28"/>
      <c r="L897" s="28"/>
      <c r="N897" s="22"/>
      <c r="O897" s="22"/>
      <c r="P897" s="22"/>
    </row>
    <row r="898" spans="11:16" s="1" customFormat="1" x14ac:dyDescent="0.25">
      <c r="K898" s="28"/>
      <c r="L898" s="28"/>
      <c r="N898" s="22"/>
      <c r="O898" s="22"/>
      <c r="P898" s="22"/>
    </row>
    <row r="899" spans="11:16" s="1" customFormat="1" x14ac:dyDescent="0.25">
      <c r="K899" s="28"/>
      <c r="L899" s="28"/>
      <c r="N899" s="22"/>
      <c r="O899" s="22"/>
      <c r="P899" s="22"/>
    </row>
    <row r="900" spans="11:16" s="1" customFormat="1" x14ac:dyDescent="0.25">
      <c r="K900" s="28"/>
      <c r="L900" s="28"/>
      <c r="N900" s="22"/>
      <c r="O900" s="22"/>
      <c r="P900" s="22"/>
    </row>
    <row r="901" spans="11:16" s="1" customFormat="1" x14ac:dyDescent="0.25">
      <c r="K901" s="28"/>
      <c r="L901" s="28"/>
      <c r="N901" s="22"/>
      <c r="O901" s="22"/>
      <c r="P901" s="22"/>
    </row>
    <row r="902" spans="11:16" s="1" customFormat="1" x14ac:dyDescent="0.25">
      <c r="K902" s="28"/>
      <c r="L902" s="28"/>
      <c r="N902" s="22"/>
      <c r="O902" s="22"/>
      <c r="P902" s="22"/>
    </row>
    <row r="903" spans="11:16" s="1" customFormat="1" x14ac:dyDescent="0.25">
      <c r="K903" s="28"/>
      <c r="L903" s="28"/>
      <c r="N903" s="22"/>
      <c r="O903" s="22"/>
      <c r="P903" s="22"/>
    </row>
    <row r="904" spans="11:16" s="1" customFormat="1" x14ac:dyDescent="0.25">
      <c r="K904" s="28"/>
      <c r="L904" s="28"/>
      <c r="N904" s="22"/>
      <c r="O904" s="22"/>
      <c r="P904" s="22"/>
    </row>
    <row r="905" spans="11:16" s="1" customFormat="1" x14ac:dyDescent="0.25">
      <c r="K905" s="28"/>
      <c r="L905" s="28"/>
      <c r="N905" s="22"/>
      <c r="O905" s="22"/>
      <c r="P905" s="22"/>
    </row>
    <row r="906" spans="11:16" s="1" customFormat="1" x14ac:dyDescent="0.25">
      <c r="K906" s="28"/>
      <c r="L906" s="28"/>
      <c r="N906" s="22"/>
      <c r="O906" s="22"/>
      <c r="P906" s="22"/>
    </row>
    <row r="907" spans="11:16" s="1" customFormat="1" x14ac:dyDescent="0.25">
      <c r="K907" s="28"/>
      <c r="L907" s="28"/>
      <c r="N907" s="22"/>
      <c r="O907" s="22"/>
      <c r="P907" s="22"/>
    </row>
    <row r="908" spans="11:16" s="1" customFormat="1" x14ac:dyDescent="0.25">
      <c r="K908" s="28"/>
      <c r="L908" s="28"/>
      <c r="N908" s="22"/>
      <c r="O908" s="22"/>
      <c r="P908" s="22"/>
    </row>
    <row r="909" spans="11:16" s="1" customFormat="1" x14ac:dyDescent="0.25">
      <c r="K909" s="28"/>
      <c r="L909" s="28"/>
      <c r="N909" s="22"/>
      <c r="O909" s="22"/>
      <c r="P909" s="22"/>
    </row>
    <row r="910" spans="11:16" s="1" customFormat="1" x14ac:dyDescent="0.25">
      <c r="K910" s="28"/>
      <c r="L910" s="28"/>
      <c r="N910" s="22"/>
      <c r="O910" s="22"/>
      <c r="P910" s="22"/>
    </row>
    <row r="911" spans="11:16" s="1" customFormat="1" x14ac:dyDescent="0.25">
      <c r="K911" s="28"/>
      <c r="L911" s="28"/>
      <c r="N911" s="22"/>
      <c r="O911" s="22"/>
      <c r="P911" s="22"/>
    </row>
    <row r="912" spans="11:16" s="1" customFormat="1" x14ac:dyDescent="0.25">
      <c r="K912" s="28"/>
      <c r="L912" s="28"/>
      <c r="N912" s="22"/>
      <c r="O912" s="22"/>
      <c r="P912" s="22"/>
    </row>
    <row r="913" spans="11:16" s="1" customFormat="1" x14ac:dyDescent="0.25">
      <c r="K913" s="28"/>
      <c r="L913" s="28"/>
      <c r="N913" s="22"/>
      <c r="O913" s="22"/>
      <c r="P913" s="22"/>
    </row>
    <row r="914" spans="11:16" s="1" customFormat="1" x14ac:dyDescent="0.25">
      <c r="K914" s="28"/>
      <c r="L914" s="28"/>
      <c r="N914" s="22"/>
      <c r="O914" s="22"/>
      <c r="P914" s="22"/>
    </row>
    <row r="915" spans="11:16" s="1" customFormat="1" x14ac:dyDescent="0.25">
      <c r="K915" s="28"/>
      <c r="L915" s="28"/>
      <c r="N915" s="22"/>
      <c r="O915" s="22"/>
      <c r="P915" s="22"/>
    </row>
    <row r="916" spans="11:16" s="1" customFormat="1" x14ac:dyDescent="0.25">
      <c r="K916" s="28"/>
      <c r="L916" s="28"/>
      <c r="N916" s="22"/>
      <c r="O916" s="22"/>
      <c r="P916" s="22"/>
    </row>
    <row r="917" spans="11:16" s="1" customFormat="1" x14ac:dyDescent="0.25">
      <c r="K917" s="28"/>
      <c r="L917" s="28"/>
      <c r="N917" s="22"/>
      <c r="O917" s="22"/>
      <c r="P917" s="22"/>
    </row>
    <row r="918" spans="11:16" s="1" customFormat="1" x14ac:dyDescent="0.25">
      <c r="K918" s="28"/>
      <c r="L918" s="28"/>
      <c r="N918" s="22"/>
      <c r="O918" s="22"/>
      <c r="P918" s="22"/>
    </row>
    <row r="919" spans="11:16" s="1" customFormat="1" x14ac:dyDescent="0.25">
      <c r="K919" s="28"/>
      <c r="L919" s="28"/>
      <c r="N919" s="22"/>
      <c r="O919" s="22"/>
      <c r="P919" s="22"/>
    </row>
    <row r="920" spans="11:16" s="1" customFormat="1" x14ac:dyDescent="0.25">
      <c r="K920" s="28"/>
      <c r="L920" s="28"/>
      <c r="N920" s="22"/>
      <c r="O920" s="22"/>
      <c r="P920" s="22"/>
    </row>
    <row r="921" spans="11:16" s="1" customFormat="1" x14ac:dyDescent="0.25">
      <c r="K921" s="28"/>
      <c r="L921" s="28"/>
      <c r="N921" s="22"/>
      <c r="O921" s="22"/>
      <c r="P921" s="22"/>
    </row>
    <row r="922" spans="11:16" s="1" customFormat="1" x14ac:dyDescent="0.25">
      <c r="K922" s="28"/>
      <c r="L922" s="28"/>
      <c r="N922" s="22"/>
      <c r="O922" s="22"/>
      <c r="P922" s="22"/>
    </row>
    <row r="923" spans="11:16" s="1" customFormat="1" x14ac:dyDescent="0.25">
      <c r="K923" s="28"/>
      <c r="L923" s="28"/>
      <c r="N923" s="22"/>
      <c r="O923" s="22"/>
      <c r="P923" s="22"/>
    </row>
    <row r="924" spans="11:16" s="1" customFormat="1" x14ac:dyDescent="0.25">
      <c r="K924" s="28"/>
      <c r="L924" s="28"/>
      <c r="N924" s="22"/>
      <c r="O924" s="22"/>
      <c r="P924" s="22"/>
    </row>
    <row r="925" spans="11:16" s="1" customFormat="1" x14ac:dyDescent="0.25">
      <c r="K925" s="28"/>
      <c r="L925" s="28"/>
      <c r="N925" s="22"/>
      <c r="O925" s="22"/>
      <c r="P925" s="22"/>
    </row>
    <row r="926" spans="11:16" s="1" customFormat="1" x14ac:dyDescent="0.25">
      <c r="K926" s="28"/>
      <c r="L926" s="28"/>
      <c r="N926" s="22"/>
      <c r="O926" s="22"/>
      <c r="P926" s="22"/>
    </row>
    <row r="927" spans="11:16" s="1" customFormat="1" x14ac:dyDescent="0.25">
      <c r="K927" s="28"/>
      <c r="L927" s="28"/>
      <c r="N927" s="22"/>
      <c r="O927" s="22"/>
      <c r="P927" s="22"/>
    </row>
    <row r="928" spans="11:16" s="1" customFormat="1" x14ac:dyDescent="0.25">
      <c r="K928" s="28"/>
      <c r="L928" s="28"/>
      <c r="N928" s="22"/>
      <c r="O928" s="22"/>
      <c r="P928" s="22"/>
    </row>
    <row r="929" spans="11:16" s="1" customFormat="1" x14ac:dyDescent="0.25">
      <c r="K929" s="28"/>
      <c r="L929" s="28"/>
      <c r="N929" s="22"/>
      <c r="O929" s="22"/>
      <c r="P929" s="22"/>
    </row>
    <row r="930" spans="11:16" s="1" customFormat="1" x14ac:dyDescent="0.25">
      <c r="K930" s="28"/>
      <c r="L930" s="28"/>
      <c r="N930" s="22"/>
      <c r="O930" s="22"/>
      <c r="P930" s="22"/>
    </row>
    <row r="931" spans="11:16" s="1" customFormat="1" x14ac:dyDescent="0.25">
      <c r="K931" s="28"/>
      <c r="L931" s="28"/>
      <c r="N931" s="22"/>
      <c r="O931" s="22"/>
      <c r="P931" s="22"/>
    </row>
    <row r="932" spans="11:16" s="1" customFormat="1" x14ac:dyDescent="0.25">
      <c r="K932" s="28"/>
      <c r="L932" s="28"/>
      <c r="N932" s="22"/>
      <c r="O932" s="22"/>
      <c r="P932" s="22"/>
    </row>
    <row r="933" spans="11:16" s="1" customFormat="1" x14ac:dyDescent="0.25">
      <c r="K933" s="28"/>
      <c r="L933" s="28"/>
      <c r="N933" s="22"/>
      <c r="O933" s="22"/>
      <c r="P933" s="22"/>
    </row>
    <row r="934" spans="11:16" s="1" customFormat="1" x14ac:dyDescent="0.25">
      <c r="K934" s="28"/>
      <c r="L934" s="28"/>
      <c r="N934" s="22"/>
      <c r="O934" s="22"/>
      <c r="P934" s="22"/>
    </row>
    <row r="935" spans="11:16" s="1" customFormat="1" x14ac:dyDescent="0.25">
      <c r="K935" s="28"/>
      <c r="L935" s="28"/>
      <c r="N935" s="22"/>
      <c r="O935" s="22"/>
      <c r="P935" s="22"/>
    </row>
    <row r="936" spans="11:16" s="1" customFormat="1" x14ac:dyDescent="0.25">
      <c r="K936" s="28"/>
      <c r="L936" s="28"/>
      <c r="N936" s="22"/>
      <c r="O936" s="22"/>
      <c r="P936" s="22"/>
    </row>
    <row r="937" spans="11:16" s="1" customFormat="1" x14ac:dyDescent="0.25">
      <c r="K937" s="28"/>
      <c r="L937" s="28"/>
      <c r="N937" s="22"/>
      <c r="O937" s="22"/>
      <c r="P937" s="22"/>
    </row>
    <row r="938" spans="11:16" s="1" customFormat="1" x14ac:dyDescent="0.25">
      <c r="K938" s="28"/>
      <c r="L938" s="28"/>
      <c r="N938" s="22"/>
      <c r="O938" s="22"/>
      <c r="P938" s="22"/>
    </row>
    <row r="939" spans="11:16" s="1" customFormat="1" x14ac:dyDescent="0.25">
      <c r="K939" s="28"/>
      <c r="L939" s="28"/>
      <c r="N939" s="22"/>
      <c r="O939" s="22"/>
      <c r="P939" s="22"/>
    </row>
    <row r="940" spans="11:16" s="1" customFormat="1" x14ac:dyDescent="0.25">
      <c r="K940" s="28"/>
      <c r="L940" s="28"/>
      <c r="N940" s="22"/>
      <c r="O940" s="22"/>
      <c r="P940" s="22"/>
    </row>
    <row r="941" spans="11:16" s="1" customFormat="1" x14ac:dyDescent="0.25">
      <c r="K941" s="28"/>
      <c r="L941" s="28"/>
      <c r="N941" s="22"/>
      <c r="O941" s="22"/>
      <c r="P941" s="22"/>
    </row>
    <row r="942" spans="11:16" s="1" customFormat="1" x14ac:dyDescent="0.25">
      <c r="K942" s="28"/>
      <c r="L942" s="28"/>
      <c r="N942" s="22"/>
      <c r="O942" s="22"/>
      <c r="P942" s="22"/>
    </row>
    <row r="943" spans="11:16" s="1" customFormat="1" x14ac:dyDescent="0.25">
      <c r="K943" s="28"/>
      <c r="L943" s="28"/>
      <c r="N943" s="22"/>
      <c r="O943" s="22"/>
      <c r="P943" s="22"/>
    </row>
    <row r="944" spans="11:16" s="1" customFormat="1" x14ac:dyDescent="0.25">
      <c r="K944" s="28"/>
      <c r="L944" s="28"/>
      <c r="N944" s="22"/>
      <c r="O944" s="22"/>
      <c r="P944" s="22"/>
    </row>
    <row r="945" spans="11:16" s="1" customFormat="1" x14ac:dyDescent="0.25">
      <c r="K945" s="28"/>
      <c r="L945" s="28"/>
      <c r="N945" s="22"/>
      <c r="O945" s="22"/>
      <c r="P945" s="22"/>
    </row>
    <row r="946" spans="11:16" s="1" customFormat="1" x14ac:dyDescent="0.25">
      <c r="K946" s="28"/>
      <c r="L946" s="28"/>
      <c r="N946" s="22"/>
      <c r="O946" s="22"/>
      <c r="P946" s="22"/>
    </row>
    <row r="947" spans="11:16" s="1" customFormat="1" x14ac:dyDescent="0.25">
      <c r="K947" s="28"/>
      <c r="L947" s="28"/>
      <c r="N947" s="22"/>
      <c r="O947" s="22"/>
      <c r="P947" s="22"/>
    </row>
    <row r="948" spans="11:16" s="1" customFormat="1" x14ac:dyDescent="0.25">
      <c r="K948" s="28"/>
      <c r="L948" s="28"/>
      <c r="N948" s="22"/>
      <c r="O948" s="22"/>
      <c r="P948" s="22"/>
    </row>
    <row r="949" spans="11:16" s="1" customFormat="1" x14ac:dyDescent="0.25">
      <c r="K949" s="28"/>
      <c r="L949" s="28"/>
      <c r="N949" s="22"/>
      <c r="O949" s="22"/>
      <c r="P949" s="22"/>
    </row>
    <row r="950" spans="11:16" s="1" customFormat="1" x14ac:dyDescent="0.25">
      <c r="K950" s="28"/>
      <c r="L950" s="28"/>
      <c r="N950" s="22"/>
      <c r="O950" s="22"/>
      <c r="P950" s="22"/>
    </row>
    <row r="951" spans="11:16" s="1" customFormat="1" x14ac:dyDescent="0.25">
      <c r="K951" s="28"/>
      <c r="L951" s="28"/>
      <c r="N951" s="22"/>
      <c r="O951" s="22"/>
      <c r="P951" s="22"/>
    </row>
    <row r="952" spans="11:16" s="1" customFormat="1" x14ac:dyDescent="0.25">
      <c r="K952" s="28"/>
      <c r="L952" s="28"/>
      <c r="N952" s="22"/>
      <c r="O952" s="22"/>
      <c r="P952" s="22"/>
    </row>
    <row r="953" spans="11:16" s="1" customFormat="1" x14ac:dyDescent="0.25">
      <c r="K953" s="28"/>
      <c r="L953" s="28"/>
      <c r="N953" s="22"/>
      <c r="O953" s="22"/>
      <c r="P953" s="22"/>
    </row>
    <row r="954" spans="11:16" s="1" customFormat="1" x14ac:dyDescent="0.25">
      <c r="K954" s="28"/>
      <c r="L954" s="28"/>
      <c r="N954" s="22"/>
      <c r="O954" s="22"/>
      <c r="P954" s="22"/>
    </row>
    <row r="955" spans="11:16" s="1" customFormat="1" x14ac:dyDescent="0.25">
      <c r="K955" s="28"/>
      <c r="L955" s="28"/>
      <c r="N955" s="22"/>
      <c r="O955" s="22"/>
      <c r="P955" s="22"/>
    </row>
    <row r="956" spans="11:16" s="1" customFormat="1" x14ac:dyDescent="0.25">
      <c r="K956" s="28"/>
      <c r="L956" s="28"/>
      <c r="N956" s="22"/>
      <c r="O956" s="22"/>
      <c r="P956" s="22"/>
    </row>
    <row r="957" spans="11:16" s="1" customFormat="1" x14ac:dyDescent="0.25">
      <c r="K957" s="28"/>
      <c r="L957" s="28"/>
      <c r="N957" s="22"/>
      <c r="O957" s="22"/>
      <c r="P957" s="22"/>
    </row>
    <row r="958" spans="11:16" s="1" customFormat="1" x14ac:dyDescent="0.25">
      <c r="K958" s="28"/>
      <c r="L958" s="28"/>
      <c r="N958" s="22"/>
      <c r="O958" s="22"/>
      <c r="P958" s="22"/>
    </row>
    <row r="959" spans="11:16" s="1" customFormat="1" x14ac:dyDescent="0.25">
      <c r="K959" s="28"/>
      <c r="L959" s="28"/>
      <c r="N959" s="22"/>
      <c r="O959" s="22"/>
      <c r="P959" s="22"/>
    </row>
    <row r="960" spans="11:16" s="1" customFormat="1" x14ac:dyDescent="0.25">
      <c r="K960" s="28"/>
      <c r="L960" s="28"/>
      <c r="N960" s="22"/>
      <c r="O960" s="22"/>
      <c r="P960" s="22"/>
    </row>
    <row r="961" spans="11:16" s="1" customFormat="1" x14ac:dyDescent="0.25">
      <c r="K961" s="28"/>
      <c r="L961" s="28"/>
      <c r="N961" s="22"/>
      <c r="O961" s="22"/>
      <c r="P961" s="22"/>
    </row>
    <row r="962" spans="11:16" s="1" customFormat="1" x14ac:dyDescent="0.25">
      <c r="K962" s="28"/>
      <c r="L962" s="28"/>
      <c r="N962" s="22"/>
      <c r="O962" s="22"/>
      <c r="P962" s="22"/>
    </row>
    <row r="963" spans="11:16" s="1" customFormat="1" x14ac:dyDescent="0.25">
      <c r="K963" s="28"/>
      <c r="L963" s="28"/>
      <c r="N963" s="22"/>
      <c r="O963" s="22"/>
      <c r="P963" s="22"/>
    </row>
    <row r="964" spans="11:16" s="1" customFormat="1" x14ac:dyDescent="0.25">
      <c r="K964" s="28"/>
      <c r="L964" s="28"/>
      <c r="N964" s="22"/>
      <c r="O964" s="22"/>
      <c r="P964" s="22"/>
    </row>
    <row r="965" spans="11:16" s="1" customFormat="1" x14ac:dyDescent="0.25">
      <c r="K965" s="28"/>
      <c r="L965" s="28"/>
      <c r="N965" s="22"/>
      <c r="O965" s="22"/>
      <c r="P965" s="22"/>
    </row>
    <row r="966" spans="11:16" s="1" customFormat="1" x14ac:dyDescent="0.25">
      <c r="K966" s="28"/>
      <c r="L966" s="28"/>
      <c r="N966" s="22"/>
      <c r="O966" s="22"/>
      <c r="P966" s="22"/>
    </row>
    <row r="967" spans="11:16" s="1" customFormat="1" x14ac:dyDescent="0.25">
      <c r="K967" s="28"/>
      <c r="L967" s="28"/>
      <c r="N967" s="22"/>
      <c r="O967" s="22"/>
      <c r="P967" s="22"/>
    </row>
    <row r="968" spans="11:16" s="1" customFormat="1" x14ac:dyDescent="0.25">
      <c r="K968" s="28"/>
      <c r="L968" s="28"/>
      <c r="N968" s="22"/>
      <c r="O968" s="22"/>
      <c r="P968" s="22"/>
    </row>
    <row r="969" spans="11:16" s="1" customFormat="1" x14ac:dyDescent="0.25">
      <c r="K969" s="28"/>
      <c r="L969" s="28"/>
      <c r="N969" s="22"/>
      <c r="O969" s="22"/>
      <c r="P969" s="22"/>
    </row>
    <row r="970" spans="11:16" s="1" customFormat="1" x14ac:dyDescent="0.25">
      <c r="K970" s="28"/>
      <c r="L970" s="28"/>
      <c r="N970" s="22"/>
      <c r="O970" s="22"/>
      <c r="P970" s="22"/>
    </row>
    <row r="971" spans="11:16" s="1" customFormat="1" x14ac:dyDescent="0.25">
      <c r="K971" s="28"/>
      <c r="L971" s="28"/>
      <c r="N971" s="22"/>
      <c r="O971" s="22"/>
      <c r="P971" s="22"/>
    </row>
    <row r="972" spans="11:16" s="1" customFormat="1" x14ac:dyDescent="0.25">
      <c r="K972" s="28"/>
      <c r="L972" s="28"/>
      <c r="N972" s="22"/>
      <c r="O972" s="22"/>
      <c r="P972" s="22"/>
    </row>
    <row r="973" spans="11:16" s="1" customFormat="1" x14ac:dyDescent="0.25">
      <c r="K973" s="28"/>
      <c r="L973" s="28"/>
      <c r="N973" s="22"/>
      <c r="O973" s="22"/>
      <c r="P973" s="22"/>
    </row>
    <row r="974" spans="11:16" s="1" customFormat="1" x14ac:dyDescent="0.25">
      <c r="K974" s="28"/>
      <c r="L974" s="28"/>
      <c r="N974" s="22"/>
      <c r="O974" s="22"/>
      <c r="P974" s="22"/>
    </row>
    <row r="975" spans="11:16" s="1" customFormat="1" x14ac:dyDescent="0.25">
      <c r="K975" s="28"/>
      <c r="L975" s="28"/>
      <c r="N975" s="22"/>
      <c r="O975" s="22"/>
      <c r="P975" s="22"/>
    </row>
    <row r="976" spans="11:16" s="1" customFormat="1" x14ac:dyDescent="0.25">
      <c r="K976" s="28"/>
      <c r="L976" s="28"/>
      <c r="N976" s="22"/>
      <c r="O976" s="22"/>
      <c r="P976" s="22"/>
    </row>
    <row r="977" spans="11:16" s="1" customFormat="1" x14ac:dyDescent="0.25">
      <c r="K977" s="28"/>
      <c r="L977" s="28"/>
      <c r="N977" s="22"/>
      <c r="O977" s="22"/>
      <c r="P977" s="22"/>
    </row>
    <row r="978" spans="11:16" s="1" customFormat="1" x14ac:dyDescent="0.25">
      <c r="K978" s="28"/>
      <c r="L978" s="28"/>
      <c r="N978" s="22"/>
      <c r="O978" s="22"/>
      <c r="P978" s="22"/>
    </row>
    <row r="979" spans="11:16" s="1" customFormat="1" x14ac:dyDescent="0.25">
      <c r="K979" s="28"/>
      <c r="L979" s="28"/>
      <c r="N979" s="22"/>
      <c r="O979" s="22"/>
      <c r="P979" s="22"/>
    </row>
    <row r="980" spans="11:16" s="1" customFormat="1" x14ac:dyDescent="0.25">
      <c r="K980" s="28"/>
      <c r="L980" s="28"/>
      <c r="N980" s="22"/>
      <c r="O980" s="22"/>
      <c r="P980" s="22"/>
    </row>
    <row r="981" spans="11:16" s="1" customFormat="1" x14ac:dyDescent="0.25">
      <c r="K981" s="28"/>
      <c r="L981" s="28"/>
      <c r="N981" s="22"/>
      <c r="O981" s="22"/>
      <c r="P981" s="22"/>
    </row>
    <row r="982" spans="11:16" s="1" customFormat="1" x14ac:dyDescent="0.25">
      <c r="K982" s="28"/>
      <c r="L982" s="28"/>
      <c r="N982" s="22"/>
      <c r="O982" s="22"/>
      <c r="P982" s="22"/>
    </row>
    <row r="983" spans="11:16" s="1" customFormat="1" x14ac:dyDescent="0.25">
      <c r="K983" s="28"/>
      <c r="L983" s="28"/>
      <c r="N983" s="22"/>
      <c r="O983" s="22"/>
      <c r="P983" s="22"/>
    </row>
    <row r="984" spans="11:16" s="1" customFormat="1" x14ac:dyDescent="0.25">
      <c r="K984" s="28"/>
      <c r="L984" s="28"/>
      <c r="N984" s="22"/>
      <c r="O984" s="22"/>
      <c r="P984" s="22"/>
    </row>
    <row r="985" spans="11:16" s="1" customFormat="1" x14ac:dyDescent="0.25">
      <c r="K985" s="28"/>
      <c r="L985" s="28"/>
      <c r="N985" s="22"/>
      <c r="O985" s="22"/>
      <c r="P985" s="22"/>
    </row>
    <row r="986" spans="11:16" s="1" customFormat="1" x14ac:dyDescent="0.25">
      <c r="K986" s="28"/>
      <c r="L986" s="28"/>
      <c r="N986" s="22"/>
      <c r="O986" s="22"/>
      <c r="P986" s="22"/>
    </row>
    <row r="987" spans="11:16" s="1" customFormat="1" x14ac:dyDescent="0.25">
      <c r="K987" s="28"/>
      <c r="L987" s="28"/>
      <c r="N987" s="22"/>
      <c r="O987" s="22"/>
      <c r="P987" s="22"/>
    </row>
    <row r="988" spans="11:16" s="1" customFormat="1" x14ac:dyDescent="0.25">
      <c r="K988" s="28"/>
      <c r="L988" s="28"/>
      <c r="N988" s="22"/>
      <c r="O988" s="22"/>
      <c r="P988" s="22"/>
    </row>
    <row r="989" spans="11:16" s="1" customFormat="1" x14ac:dyDescent="0.25">
      <c r="K989" s="28"/>
      <c r="L989" s="28"/>
      <c r="N989" s="22"/>
      <c r="O989" s="22"/>
      <c r="P989" s="22"/>
    </row>
    <row r="990" spans="11:16" s="1" customFormat="1" x14ac:dyDescent="0.25">
      <c r="K990" s="28"/>
      <c r="L990" s="28"/>
      <c r="N990" s="22"/>
      <c r="O990" s="22"/>
      <c r="P990" s="22"/>
    </row>
    <row r="991" spans="11:16" s="1" customFormat="1" x14ac:dyDescent="0.25">
      <c r="K991" s="28"/>
      <c r="L991" s="28"/>
      <c r="N991" s="22"/>
      <c r="O991" s="22"/>
      <c r="P991" s="22"/>
    </row>
    <row r="992" spans="11:16" s="1" customFormat="1" x14ac:dyDescent="0.25">
      <c r="K992" s="28"/>
      <c r="L992" s="28"/>
      <c r="N992" s="22"/>
      <c r="O992" s="22"/>
      <c r="P992" s="22"/>
    </row>
    <row r="993" spans="11:16" s="1" customFormat="1" x14ac:dyDescent="0.25">
      <c r="K993" s="28"/>
      <c r="L993" s="28"/>
      <c r="N993" s="22"/>
      <c r="O993" s="22"/>
      <c r="P993" s="22"/>
    </row>
    <row r="994" spans="11:16" s="1" customFormat="1" x14ac:dyDescent="0.25">
      <c r="K994" s="28"/>
      <c r="L994" s="28"/>
      <c r="N994" s="22"/>
      <c r="O994" s="22"/>
      <c r="P994" s="22"/>
    </row>
    <row r="995" spans="11:16" s="1" customFormat="1" x14ac:dyDescent="0.25">
      <c r="K995" s="28"/>
      <c r="L995" s="28"/>
      <c r="N995" s="22"/>
      <c r="O995" s="22"/>
      <c r="P995" s="22"/>
    </row>
    <row r="996" spans="11:16" s="1" customFormat="1" x14ac:dyDescent="0.25">
      <c r="K996" s="28"/>
      <c r="L996" s="28"/>
      <c r="N996" s="22"/>
      <c r="O996" s="22"/>
      <c r="P996" s="22"/>
    </row>
    <row r="997" spans="11:16" s="1" customFormat="1" x14ac:dyDescent="0.25">
      <c r="K997" s="28"/>
      <c r="L997" s="28"/>
      <c r="N997" s="22"/>
      <c r="O997" s="22"/>
      <c r="P997" s="22"/>
    </row>
    <row r="998" spans="11:16" s="1" customFormat="1" x14ac:dyDescent="0.25">
      <c r="K998" s="28"/>
      <c r="L998" s="28"/>
      <c r="N998" s="22"/>
      <c r="O998" s="22"/>
      <c r="P998" s="22"/>
    </row>
    <row r="999" spans="11:16" s="1" customFormat="1" x14ac:dyDescent="0.25">
      <c r="K999" s="28"/>
      <c r="L999" s="28"/>
      <c r="N999" s="22"/>
      <c r="O999" s="22"/>
      <c r="P999" s="22"/>
    </row>
    <row r="1000" spans="11:16" s="1" customFormat="1" x14ac:dyDescent="0.25">
      <c r="K1000" s="28"/>
      <c r="L1000" s="28"/>
      <c r="N1000" s="22"/>
      <c r="O1000" s="22"/>
      <c r="P1000" s="22"/>
    </row>
    <row r="1001" spans="11:16" s="1" customFormat="1" x14ac:dyDescent="0.25">
      <c r="K1001" s="28"/>
      <c r="L1001" s="28"/>
      <c r="N1001" s="22"/>
      <c r="O1001" s="22"/>
      <c r="P1001" s="22"/>
    </row>
    <row r="1002" spans="11:16" s="1" customFormat="1" x14ac:dyDescent="0.25">
      <c r="K1002" s="28"/>
      <c r="L1002" s="28"/>
      <c r="N1002" s="22"/>
      <c r="O1002" s="22"/>
      <c r="P1002" s="22"/>
    </row>
    <row r="1003" spans="11:16" s="1" customFormat="1" x14ac:dyDescent="0.25">
      <c r="K1003" s="28"/>
      <c r="L1003" s="28"/>
      <c r="N1003" s="22"/>
      <c r="O1003" s="22"/>
      <c r="P1003" s="22"/>
    </row>
    <row r="1004" spans="11:16" s="1" customFormat="1" x14ac:dyDescent="0.25">
      <c r="K1004" s="28"/>
      <c r="L1004" s="28"/>
      <c r="N1004" s="22"/>
      <c r="O1004" s="22"/>
      <c r="P1004" s="22"/>
    </row>
    <row r="1005" spans="11:16" s="1" customFormat="1" x14ac:dyDescent="0.25">
      <c r="K1005" s="28"/>
      <c r="L1005" s="28"/>
      <c r="N1005" s="22"/>
      <c r="O1005" s="22"/>
      <c r="P1005" s="22"/>
    </row>
    <row r="1006" spans="11:16" s="1" customFormat="1" x14ac:dyDescent="0.25">
      <c r="K1006" s="28"/>
      <c r="L1006" s="28"/>
      <c r="N1006" s="22"/>
      <c r="O1006" s="22"/>
      <c r="P1006" s="22"/>
    </row>
    <row r="1007" spans="11:16" s="1" customFormat="1" x14ac:dyDescent="0.25">
      <c r="K1007" s="28"/>
      <c r="L1007" s="28"/>
      <c r="N1007" s="22"/>
      <c r="O1007" s="22"/>
      <c r="P1007" s="22"/>
    </row>
    <row r="1008" spans="11:16" s="1" customFormat="1" x14ac:dyDescent="0.25">
      <c r="K1008" s="28"/>
      <c r="L1008" s="28"/>
      <c r="N1008" s="22"/>
      <c r="O1008" s="22"/>
      <c r="P1008" s="22"/>
    </row>
    <row r="1009" spans="11:16" s="1" customFormat="1" x14ac:dyDescent="0.25">
      <c r="K1009" s="28"/>
      <c r="L1009" s="28"/>
      <c r="N1009" s="22"/>
      <c r="O1009" s="22"/>
      <c r="P1009" s="22"/>
    </row>
    <row r="1010" spans="11:16" s="1" customFormat="1" x14ac:dyDescent="0.25">
      <c r="K1010" s="28"/>
      <c r="L1010" s="28"/>
      <c r="N1010" s="22"/>
      <c r="O1010" s="22"/>
      <c r="P1010" s="22"/>
    </row>
    <row r="1011" spans="11:16" s="1" customFormat="1" x14ac:dyDescent="0.25">
      <c r="K1011" s="28"/>
      <c r="L1011" s="28"/>
      <c r="N1011" s="22"/>
      <c r="O1011" s="22"/>
      <c r="P1011" s="22"/>
    </row>
    <row r="1012" spans="11:16" s="1" customFormat="1" x14ac:dyDescent="0.25">
      <c r="K1012" s="28"/>
      <c r="L1012" s="28"/>
      <c r="N1012" s="22"/>
      <c r="O1012" s="22"/>
      <c r="P1012" s="22"/>
    </row>
    <row r="1013" spans="11:16" s="1" customFormat="1" x14ac:dyDescent="0.25">
      <c r="K1013" s="28"/>
      <c r="L1013" s="28"/>
      <c r="N1013" s="22"/>
      <c r="O1013" s="22"/>
      <c r="P1013" s="22"/>
    </row>
    <row r="1014" spans="11:16" s="1" customFormat="1" x14ac:dyDescent="0.25">
      <c r="K1014" s="28"/>
      <c r="L1014" s="28"/>
      <c r="N1014" s="22"/>
      <c r="O1014" s="22"/>
      <c r="P1014" s="22"/>
    </row>
    <row r="1015" spans="11:16" s="1" customFormat="1" x14ac:dyDescent="0.25">
      <c r="K1015" s="28"/>
      <c r="L1015" s="28"/>
      <c r="N1015" s="22"/>
      <c r="O1015" s="22"/>
      <c r="P1015" s="22"/>
    </row>
    <row r="1016" spans="11:16" s="1" customFormat="1" x14ac:dyDescent="0.25">
      <c r="K1016" s="28"/>
      <c r="L1016" s="28"/>
      <c r="N1016" s="22"/>
      <c r="O1016" s="22"/>
      <c r="P1016" s="22"/>
    </row>
    <row r="1017" spans="11:16" s="1" customFormat="1" x14ac:dyDescent="0.25">
      <c r="K1017" s="28"/>
      <c r="L1017" s="28"/>
      <c r="N1017" s="22"/>
      <c r="O1017" s="22"/>
      <c r="P1017" s="22"/>
    </row>
    <row r="1018" spans="11:16" s="1" customFormat="1" x14ac:dyDescent="0.25">
      <c r="K1018" s="28"/>
      <c r="L1018" s="28"/>
      <c r="N1018" s="22"/>
      <c r="O1018" s="22"/>
      <c r="P1018" s="22"/>
    </row>
    <row r="1019" spans="11:16" s="1" customFormat="1" x14ac:dyDescent="0.25">
      <c r="K1019" s="28"/>
      <c r="L1019" s="28"/>
      <c r="N1019" s="22"/>
      <c r="O1019" s="22"/>
      <c r="P1019" s="22"/>
    </row>
    <row r="1020" spans="11:16" s="1" customFormat="1" x14ac:dyDescent="0.25">
      <c r="K1020" s="28"/>
      <c r="L1020" s="28"/>
      <c r="N1020" s="22"/>
      <c r="O1020" s="22"/>
      <c r="P1020" s="22"/>
    </row>
    <row r="1021" spans="11:16" s="1" customFormat="1" x14ac:dyDescent="0.25">
      <c r="K1021" s="28"/>
      <c r="L1021" s="28"/>
      <c r="N1021" s="22"/>
      <c r="O1021" s="22"/>
      <c r="P1021" s="22"/>
    </row>
    <row r="1022" spans="11:16" s="1" customFormat="1" x14ac:dyDescent="0.25">
      <c r="K1022" s="28"/>
      <c r="L1022" s="28"/>
      <c r="N1022" s="22"/>
      <c r="O1022" s="22"/>
      <c r="P1022" s="22"/>
    </row>
    <row r="1023" spans="11:16" s="1" customFormat="1" x14ac:dyDescent="0.25">
      <c r="K1023" s="28"/>
      <c r="L1023" s="28"/>
      <c r="N1023" s="22"/>
      <c r="O1023" s="22"/>
      <c r="P1023" s="22"/>
    </row>
    <row r="1024" spans="11:16" s="1" customFormat="1" x14ac:dyDescent="0.25">
      <c r="K1024" s="28"/>
      <c r="L1024" s="28"/>
      <c r="N1024" s="22"/>
      <c r="O1024" s="22"/>
      <c r="P1024" s="22"/>
    </row>
    <row r="1025" spans="11:16" s="1" customFormat="1" x14ac:dyDescent="0.25">
      <c r="K1025" s="28"/>
      <c r="L1025" s="28"/>
      <c r="N1025" s="22"/>
      <c r="O1025" s="22"/>
      <c r="P1025" s="22"/>
    </row>
    <row r="1026" spans="11:16" s="1" customFormat="1" x14ac:dyDescent="0.25">
      <c r="K1026" s="28"/>
      <c r="L1026" s="28"/>
      <c r="N1026" s="22"/>
      <c r="O1026" s="22"/>
      <c r="P1026" s="22"/>
    </row>
    <row r="1027" spans="11:16" s="1" customFormat="1" x14ac:dyDescent="0.25">
      <c r="K1027" s="28"/>
      <c r="L1027" s="28"/>
      <c r="N1027" s="22"/>
      <c r="O1027" s="22"/>
      <c r="P1027" s="22"/>
    </row>
    <row r="1028" spans="11:16" s="1" customFormat="1" x14ac:dyDescent="0.25">
      <c r="K1028" s="28"/>
      <c r="L1028" s="28"/>
      <c r="N1028" s="22"/>
      <c r="O1028" s="22"/>
      <c r="P1028" s="22"/>
    </row>
    <row r="1029" spans="11:16" s="1" customFormat="1" x14ac:dyDescent="0.25">
      <c r="K1029" s="28"/>
      <c r="L1029" s="28"/>
      <c r="N1029" s="22"/>
      <c r="O1029" s="22"/>
      <c r="P1029" s="22"/>
    </row>
    <row r="1030" spans="11:16" s="1" customFormat="1" x14ac:dyDescent="0.25">
      <c r="K1030" s="28"/>
      <c r="L1030" s="28"/>
      <c r="N1030" s="22"/>
      <c r="O1030" s="22"/>
      <c r="P1030" s="22"/>
    </row>
    <row r="1031" spans="11:16" s="1" customFormat="1" x14ac:dyDescent="0.25">
      <c r="K1031" s="28"/>
      <c r="L1031" s="28"/>
      <c r="N1031" s="22"/>
      <c r="O1031" s="22"/>
      <c r="P1031" s="22"/>
    </row>
    <row r="1032" spans="11:16" s="1" customFormat="1" x14ac:dyDescent="0.25">
      <c r="K1032" s="28"/>
      <c r="L1032" s="28"/>
      <c r="N1032" s="22"/>
      <c r="O1032" s="22"/>
      <c r="P1032" s="22"/>
    </row>
    <row r="1033" spans="11:16" s="1" customFormat="1" x14ac:dyDescent="0.25">
      <c r="K1033" s="28"/>
      <c r="L1033" s="28"/>
      <c r="N1033" s="22"/>
      <c r="O1033" s="22"/>
      <c r="P1033" s="22"/>
    </row>
    <row r="1034" spans="11:16" s="1" customFormat="1" x14ac:dyDescent="0.25">
      <c r="K1034" s="28"/>
      <c r="L1034" s="28"/>
      <c r="N1034" s="22"/>
      <c r="O1034" s="22"/>
      <c r="P1034" s="22"/>
    </row>
    <row r="1035" spans="11:16" s="1" customFormat="1" x14ac:dyDescent="0.25">
      <c r="K1035" s="28"/>
      <c r="L1035" s="28"/>
      <c r="N1035" s="22"/>
      <c r="O1035" s="22"/>
      <c r="P1035" s="22"/>
    </row>
    <row r="1036" spans="11:16" s="1" customFormat="1" x14ac:dyDescent="0.25">
      <c r="K1036" s="28"/>
      <c r="L1036" s="28"/>
      <c r="N1036" s="22"/>
      <c r="O1036" s="22"/>
      <c r="P1036" s="22"/>
    </row>
    <row r="1037" spans="11:16" s="1" customFormat="1" x14ac:dyDescent="0.25">
      <c r="K1037" s="28"/>
      <c r="L1037" s="28"/>
      <c r="N1037" s="22"/>
      <c r="O1037" s="22"/>
      <c r="P1037" s="22"/>
    </row>
    <row r="1038" spans="11:16" s="1" customFormat="1" x14ac:dyDescent="0.25">
      <c r="K1038" s="28"/>
      <c r="L1038" s="28"/>
      <c r="N1038" s="22"/>
      <c r="O1038" s="22"/>
      <c r="P1038" s="22"/>
    </row>
    <row r="1039" spans="11:16" s="1" customFormat="1" x14ac:dyDescent="0.25">
      <c r="K1039" s="28"/>
      <c r="L1039" s="28"/>
      <c r="N1039" s="22"/>
      <c r="O1039" s="22"/>
      <c r="P1039" s="22"/>
    </row>
    <row r="1040" spans="11:16" s="1" customFormat="1" x14ac:dyDescent="0.25">
      <c r="K1040" s="28"/>
      <c r="L1040" s="28"/>
      <c r="N1040" s="22"/>
      <c r="O1040" s="22"/>
      <c r="P1040" s="22"/>
    </row>
    <row r="1041" spans="11:16" s="1" customFormat="1" x14ac:dyDescent="0.25">
      <c r="K1041" s="28"/>
      <c r="L1041" s="28"/>
      <c r="N1041" s="22"/>
      <c r="O1041" s="22"/>
      <c r="P1041" s="22"/>
    </row>
    <row r="1042" spans="11:16" s="1" customFormat="1" x14ac:dyDescent="0.25">
      <c r="K1042" s="28"/>
      <c r="L1042" s="28"/>
      <c r="N1042" s="22"/>
      <c r="O1042" s="22"/>
      <c r="P1042" s="22"/>
    </row>
    <row r="1043" spans="11:16" s="1" customFormat="1" x14ac:dyDescent="0.25">
      <c r="K1043" s="28"/>
      <c r="L1043" s="28"/>
      <c r="N1043" s="22"/>
      <c r="O1043" s="22"/>
      <c r="P1043" s="22"/>
    </row>
    <row r="1044" spans="11:16" s="1" customFormat="1" x14ac:dyDescent="0.25">
      <c r="K1044" s="28"/>
      <c r="L1044" s="28"/>
      <c r="N1044" s="22"/>
      <c r="O1044" s="22"/>
      <c r="P1044" s="22"/>
    </row>
    <row r="1045" spans="11:16" s="1" customFormat="1" x14ac:dyDescent="0.25">
      <c r="K1045" s="28"/>
      <c r="L1045" s="28"/>
      <c r="N1045" s="22"/>
      <c r="O1045" s="22"/>
      <c r="P1045" s="22"/>
    </row>
    <row r="1046" spans="11:16" s="1" customFormat="1" x14ac:dyDescent="0.25">
      <c r="K1046" s="28"/>
      <c r="L1046" s="28"/>
      <c r="N1046" s="22"/>
      <c r="O1046" s="22"/>
      <c r="P1046" s="22"/>
    </row>
    <row r="1047" spans="11:16" s="1" customFormat="1" x14ac:dyDescent="0.25">
      <c r="K1047" s="28"/>
      <c r="L1047" s="28"/>
      <c r="N1047" s="22"/>
      <c r="O1047" s="22"/>
      <c r="P1047" s="22"/>
    </row>
    <row r="1048" spans="11:16" s="1" customFormat="1" x14ac:dyDescent="0.25">
      <c r="K1048" s="28"/>
      <c r="L1048" s="28"/>
      <c r="N1048" s="22"/>
      <c r="O1048" s="22"/>
      <c r="P1048" s="22"/>
    </row>
    <row r="1049" spans="11:16" s="1" customFormat="1" x14ac:dyDescent="0.25">
      <c r="K1049" s="28"/>
      <c r="L1049" s="28"/>
      <c r="N1049" s="22"/>
      <c r="O1049" s="22"/>
      <c r="P1049" s="22"/>
    </row>
    <row r="1050" spans="11:16" s="1" customFormat="1" x14ac:dyDescent="0.25">
      <c r="K1050" s="28"/>
      <c r="L1050" s="28"/>
      <c r="N1050" s="22"/>
      <c r="O1050" s="22"/>
      <c r="P1050" s="22"/>
    </row>
    <row r="1051" spans="11:16" s="1" customFormat="1" x14ac:dyDescent="0.25">
      <c r="K1051" s="28"/>
      <c r="L1051" s="28"/>
      <c r="N1051" s="22"/>
      <c r="O1051" s="22"/>
      <c r="P1051" s="22"/>
    </row>
    <row r="1052" spans="11:16" s="1" customFormat="1" x14ac:dyDescent="0.25">
      <c r="K1052" s="28"/>
      <c r="L1052" s="28"/>
      <c r="N1052" s="22"/>
      <c r="O1052" s="22"/>
      <c r="P1052" s="22"/>
    </row>
    <row r="1053" spans="11:16" s="1" customFormat="1" x14ac:dyDescent="0.25">
      <c r="K1053" s="28"/>
      <c r="L1053" s="28"/>
      <c r="N1053" s="22"/>
      <c r="O1053" s="22"/>
      <c r="P1053" s="22"/>
    </row>
    <row r="1054" spans="11:16" s="1" customFormat="1" x14ac:dyDescent="0.25">
      <c r="K1054" s="28"/>
      <c r="L1054" s="28"/>
      <c r="N1054" s="22"/>
      <c r="O1054" s="22"/>
      <c r="P1054" s="22"/>
    </row>
    <row r="1055" spans="11:16" s="1" customFormat="1" x14ac:dyDescent="0.25">
      <c r="K1055" s="28"/>
      <c r="L1055" s="28"/>
      <c r="N1055" s="22"/>
      <c r="O1055" s="22"/>
      <c r="P1055" s="22"/>
    </row>
    <row r="1056" spans="11:16" s="1" customFormat="1" x14ac:dyDescent="0.25">
      <c r="K1056" s="28"/>
      <c r="L1056" s="28"/>
      <c r="N1056" s="22"/>
      <c r="O1056" s="22"/>
      <c r="P1056" s="22"/>
    </row>
    <row r="1057" spans="11:16" s="1" customFormat="1" x14ac:dyDescent="0.25">
      <c r="K1057" s="28"/>
      <c r="L1057" s="28"/>
      <c r="N1057" s="22"/>
      <c r="O1057" s="22"/>
      <c r="P1057" s="22"/>
    </row>
    <row r="1058" spans="11:16" s="1" customFormat="1" x14ac:dyDescent="0.25">
      <c r="K1058" s="28"/>
      <c r="L1058" s="28"/>
      <c r="N1058" s="22"/>
      <c r="O1058" s="22"/>
      <c r="P1058" s="22"/>
    </row>
    <row r="1059" spans="11:16" s="1" customFormat="1" x14ac:dyDescent="0.25">
      <c r="K1059" s="28"/>
      <c r="L1059" s="28"/>
      <c r="N1059" s="22"/>
      <c r="O1059" s="22"/>
      <c r="P1059" s="22"/>
    </row>
    <row r="1060" spans="11:16" s="1" customFormat="1" x14ac:dyDescent="0.25">
      <c r="K1060" s="28"/>
      <c r="L1060" s="28"/>
      <c r="N1060" s="22"/>
      <c r="O1060" s="22"/>
      <c r="P1060" s="22"/>
    </row>
    <row r="1061" spans="11:16" s="1" customFormat="1" x14ac:dyDescent="0.25">
      <c r="K1061" s="28"/>
      <c r="L1061" s="28"/>
      <c r="N1061" s="22"/>
      <c r="O1061" s="22"/>
      <c r="P1061" s="22"/>
    </row>
    <row r="1062" spans="11:16" s="1" customFormat="1" x14ac:dyDescent="0.25">
      <c r="K1062" s="28"/>
      <c r="L1062" s="28"/>
      <c r="N1062" s="22"/>
      <c r="O1062" s="22"/>
      <c r="P1062" s="22"/>
    </row>
    <row r="1063" spans="11:16" s="1" customFormat="1" x14ac:dyDescent="0.25">
      <c r="K1063" s="28"/>
      <c r="L1063" s="28"/>
      <c r="N1063" s="22"/>
      <c r="O1063" s="22"/>
      <c r="P1063" s="22"/>
    </row>
    <row r="1064" spans="11:16" s="1" customFormat="1" x14ac:dyDescent="0.25">
      <c r="K1064" s="28"/>
      <c r="L1064" s="28"/>
      <c r="N1064" s="22"/>
      <c r="O1064" s="22"/>
      <c r="P1064" s="22"/>
    </row>
    <row r="1065" spans="11:16" s="1" customFormat="1" x14ac:dyDescent="0.25">
      <c r="K1065" s="28"/>
      <c r="L1065" s="28"/>
      <c r="N1065" s="22"/>
      <c r="O1065" s="22"/>
      <c r="P1065" s="22"/>
    </row>
    <row r="1066" spans="11:16" s="1" customFormat="1" x14ac:dyDescent="0.25">
      <c r="K1066" s="28"/>
      <c r="L1066" s="28"/>
      <c r="N1066" s="22"/>
      <c r="O1066" s="22"/>
      <c r="P1066" s="22"/>
    </row>
    <row r="1067" spans="11:16" s="1" customFormat="1" x14ac:dyDescent="0.25">
      <c r="K1067" s="28"/>
      <c r="L1067" s="28"/>
      <c r="N1067" s="22"/>
      <c r="O1067" s="22"/>
      <c r="P1067" s="22"/>
    </row>
    <row r="1068" spans="11:16" s="1" customFormat="1" x14ac:dyDescent="0.25">
      <c r="K1068" s="28"/>
      <c r="L1068" s="28"/>
      <c r="N1068" s="22"/>
      <c r="O1068" s="22"/>
      <c r="P1068" s="22"/>
    </row>
    <row r="1069" spans="11:16" s="1" customFormat="1" x14ac:dyDescent="0.25">
      <c r="K1069" s="28"/>
      <c r="L1069" s="28"/>
      <c r="N1069" s="22"/>
      <c r="O1069" s="22"/>
      <c r="P1069" s="22"/>
    </row>
    <row r="1070" spans="11:16" s="1" customFormat="1" x14ac:dyDescent="0.25">
      <c r="K1070" s="28"/>
      <c r="L1070" s="28"/>
      <c r="N1070" s="22"/>
      <c r="O1070" s="22"/>
      <c r="P1070" s="22"/>
    </row>
    <row r="1071" spans="11:16" s="1" customFormat="1" x14ac:dyDescent="0.25">
      <c r="K1071" s="28"/>
      <c r="L1071" s="28"/>
      <c r="N1071" s="22"/>
      <c r="O1071" s="22"/>
      <c r="P1071" s="22"/>
    </row>
    <row r="1072" spans="11:16" s="1" customFormat="1" x14ac:dyDescent="0.25">
      <c r="K1072" s="28"/>
      <c r="L1072" s="28"/>
      <c r="N1072" s="22"/>
      <c r="O1072" s="22"/>
      <c r="P1072" s="22"/>
    </row>
    <row r="1073" spans="11:16" s="1" customFormat="1" x14ac:dyDescent="0.25">
      <c r="K1073" s="28"/>
      <c r="L1073" s="28"/>
      <c r="N1073" s="22"/>
      <c r="O1073" s="22"/>
      <c r="P1073" s="22"/>
    </row>
    <row r="1074" spans="11:16" s="1" customFormat="1" x14ac:dyDescent="0.25">
      <c r="K1074" s="28"/>
      <c r="L1074" s="28"/>
      <c r="N1074" s="22"/>
      <c r="O1074" s="22"/>
      <c r="P1074" s="22"/>
    </row>
    <row r="1075" spans="11:16" s="1" customFormat="1" x14ac:dyDescent="0.25">
      <c r="K1075" s="28"/>
      <c r="L1075" s="28"/>
      <c r="N1075" s="22"/>
      <c r="O1075" s="22"/>
      <c r="P1075" s="22"/>
    </row>
    <row r="1076" spans="11:16" s="1" customFormat="1" x14ac:dyDescent="0.25">
      <c r="K1076" s="28"/>
      <c r="L1076" s="28"/>
      <c r="N1076" s="22"/>
      <c r="O1076" s="22"/>
      <c r="P1076" s="22"/>
    </row>
    <row r="1077" spans="11:16" s="1" customFormat="1" x14ac:dyDescent="0.25">
      <c r="K1077" s="28"/>
      <c r="L1077" s="28"/>
      <c r="N1077" s="22"/>
      <c r="O1077" s="22"/>
      <c r="P1077" s="22"/>
    </row>
    <row r="1078" spans="11:16" s="1" customFormat="1" x14ac:dyDescent="0.25">
      <c r="K1078" s="28"/>
      <c r="L1078" s="28"/>
      <c r="N1078" s="22"/>
      <c r="O1078" s="22"/>
      <c r="P1078" s="22"/>
    </row>
    <row r="1079" spans="11:16" s="1" customFormat="1" x14ac:dyDescent="0.25">
      <c r="K1079" s="28"/>
      <c r="L1079" s="28"/>
      <c r="N1079" s="22"/>
      <c r="O1079" s="22"/>
      <c r="P1079" s="22"/>
    </row>
    <row r="1080" spans="11:16" s="1" customFormat="1" x14ac:dyDescent="0.25">
      <c r="K1080" s="28"/>
      <c r="L1080" s="28"/>
      <c r="N1080" s="22"/>
      <c r="O1080" s="22"/>
      <c r="P1080" s="22"/>
    </row>
    <row r="1081" spans="11:16" s="1" customFormat="1" x14ac:dyDescent="0.25">
      <c r="K1081" s="28"/>
      <c r="L1081" s="28"/>
      <c r="N1081" s="22"/>
      <c r="O1081" s="22"/>
      <c r="P1081" s="22"/>
    </row>
    <row r="1082" spans="11:16" s="1" customFormat="1" x14ac:dyDescent="0.25">
      <c r="K1082" s="28"/>
      <c r="L1082" s="28"/>
      <c r="N1082" s="22"/>
      <c r="O1082" s="22"/>
      <c r="P1082" s="22"/>
    </row>
    <row r="1083" spans="11:16" s="1" customFormat="1" x14ac:dyDescent="0.25">
      <c r="K1083" s="28"/>
      <c r="L1083" s="28"/>
      <c r="N1083" s="22"/>
      <c r="O1083" s="22"/>
      <c r="P1083" s="22"/>
    </row>
    <row r="1084" spans="11:16" s="1" customFormat="1" x14ac:dyDescent="0.25">
      <c r="K1084" s="28"/>
      <c r="L1084" s="28"/>
      <c r="N1084" s="22"/>
      <c r="O1084" s="22"/>
      <c r="P1084" s="22"/>
    </row>
    <row r="1085" spans="11:16" s="1" customFormat="1" x14ac:dyDescent="0.25">
      <c r="K1085" s="28"/>
      <c r="L1085" s="28"/>
      <c r="N1085" s="22"/>
      <c r="O1085" s="22"/>
      <c r="P1085" s="22"/>
    </row>
    <row r="1086" spans="11:16" s="1" customFormat="1" x14ac:dyDescent="0.25">
      <c r="K1086" s="28"/>
      <c r="L1086" s="28"/>
      <c r="N1086" s="22"/>
      <c r="O1086" s="22"/>
      <c r="P1086" s="22"/>
    </row>
    <row r="1087" spans="11:16" s="1" customFormat="1" x14ac:dyDescent="0.25">
      <c r="K1087" s="28"/>
      <c r="L1087" s="28"/>
      <c r="N1087" s="22"/>
      <c r="O1087" s="22"/>
      <c r="P1087" s="22"/>
    </row>
    <row r="1088" spans="11:16" s="1" customFormat="1" x14ac:dyDescent="0.25">
      <c r="K1088" s="28"/>
      <c r="L1088" s="28"/>
      <c r="N1088" s="22"/>
      <c r="O1088" s="22"/>
      <c r="P1088" s="22"/>
    </row>
    <row r="1089" spans="11:16" s="1" customFormat="1" x14ac:dyDescent="0.25">
      <c r="K1089" s="28"/>
      <c r="L1089" s="28"/>
      <c r="N1089" s="22"/>
      <c r="O1089" s="22"/>
      <c r="P1089" s="22"/>
    </row>
    <row r="1090" spans="11:16" s="1" customFormat="1" x14ac:dyDescent="0.25">
      <c r="K1090" s="28"/>
      <c r="L1090" s="28"/>
      <c r="N1090" s="22"/>
      <c r="O1090" s="22"/>
      <c r="P1090" s="22"/>
    </row>
    <row r="1091" spans="11:16" s="1" customFormat="1" x14ac:dyDescent="0.25">
      <c r="K1091" s="28"/>
      <c r="L1091" s="28"/>
      <c r="N1091" s="22"/>
      <c r="O1091" s="22"/>
      <c r="P1091" s="22"/>
    </row>
    <row r="1092" spans="11:16" s="1" customFormat="1" x14ac:dyDescent="0.25">
      <c r="K1092" s="28"/>
      <c r="L1092" s="28"/>
      <c r="N1092" s="22"/>
      <c r="O1092" s="22"/>
      <c r="P1092" s="22"/>
    </row>
    <row r="1093" spans="11:16" s="1" customFormat="1" x14ac:dyDescent="0.25">
      <c r="K1093" s="28"/>
      <c r="L1093" s="28"/>
      <c r="N1093" s="22"/>
      <c r="O1093" s="22"/>
      <c r="P1093" s="22"/>
    </row>
    <row r="1094" spans="11:16" s="1" customFormat="1" x14ac:dyDescent="0.25">
      <c r="K1094" s="28"/>
      <c r="L1094" s="28"/>
      <c r="N1094" s="22"/>
      <c r="O1094" s="22"/>
      <c r="P1094" s="22"/>
    </row>
    <row r="1095" spans="11:16" s="1" customFormat="1" x14ac:dyDescent="0.25">
      <c r="K1095" s="28"/>
      <c r="L1095" s="28"/>
      <c r="N1095" s="22"/>
      <c r="O1095" s="22"/>
      <c r="P1095" s="22"/>
    </row>
    <row r="1096" spans="11:16" s="1" customFormat="1" x14ac:dyDescent="0.25">
      <c r="K1096" s="28"/>
      <c r="L1096" s="28"/>
      <c r="N1096" s="22"/>
      <c r="O1096" s="22"/>
      <c r="P1096" s="22"/>
    </row>
    <row r="1097" spans="11:16" s="1" customFormat="1" x14ac:dyDescent="0.25">
      <c r="K1097" s="28"/>
      <c r="L1097" s="28"/>
      <c r="N1097" s="22"/>
      <c r="O1097" s="22"/>
      <c r="P1097" s="22"/>
    </row>
    <row r="1098" spans="11:16" s="1" customFormat="1" x14ac:dyDescent="0.25">
      <c r="K1098" s="28"/>
      <c r="L1098" s="28"/>
      <c r="N1098" s="22"/>
      <c r="O1098" s="22"/>
      <c r="P1098" s="22"/>
    </row>
    <row r="1099" spans="11:16" s="1" customFormat="1" x14ac:dyDescent="0.25">
      <c r="K1099" s="28"/>
      <c r="L1099" s="28"/>
      <c r="N1099" s="22"/>
      <c r="O1099" s="22"/>
      <c r="P1099" s="22"/>
    </row>
    <row r="1100" spans="11:16" s="1" customFormat="1" x14ac:dyDescent="0.25">
      <c r="K1100" s="28"/>
      <c r="L1100" s="28"/>
      <c r="N1100" s="22"/>
      <c r="O1100" s="22"/>
      <c r="P1100" s="22"/>
    </row>
    <row r="1101" spans="11:16" s="1" customFormat="1" x14ac:dyDescent="0.25">
      <c r="K1101" s="28"/>
      <c r="L1101" s="28"/>
      <c r="N1101" s="22"/>
      <c r="O1101" s="22"/>
      <c r="P1101" s="22"/>
    </row>
    <row r="1102" spans="11:16" s="1" customFormat="1" x14ac:dyDescent="0.25">
      <c r="K1102" s="28"/>
      <c r="L1102" s="28"/>
      <c r="N1102" s="22"/>
      <c r="O1102" s="22"/>
      <c r="P1102" s="22"/>
    </row>
    <row r="1103" spans="11:16" s="1" customFormat="1" x14ac:dyDescent="0.25">
      <c r="K1103" s="28"/>
      <c r="L1103" s="28"/>
      <c r="N1103" s="22"/>
      <c r="O1103" s="22"/>
      <c r="P1103" s="22"/>
    </row>
    <row r="1104" spans="11:16" s="1" customFormat="1" x14ac:dyDescent="0.25">
      <c r="K1104" s="28"/>
      <c r="L1104" s="28"/>
      <c r="N1104" s="22"/>
      <c r="O1104" s="22"/>
      <c r="P1104" s="22"/>
    </row>
    <row r="1105" spans="11:16" s="1" customFormat="1" x14ac:dyDescent="0.25">
      <c r="K1105" s="28"/>
      <c r="L1105" s="28"/>
      <c r="N1105" s="22"/>
      <c r="O1105" s="22"/>
      <c r="P1105" s="22"/>
    </row>
    <row r="1106" spans="11:16" s="1" customFormat="1" x14ac:dyDescent="0.25">
      <c r="K1106" s="28"/>
      <c r="L1106" s="28"/>
      <c r="N1106" s="22"/>
      <c r="O1106" s="22"/>
      <c r="P1106" s="22"/>
    </row>
    <row r="1107" spans="11:16" s="1" customFormat="1" x14ac:dyDescent="0.25">
      <c r="K1107" s="28"/>
      <c r="L1107" s="28"/>
      <c r="N1107" s="22"/>
      <c r="O1107" s="22"/>
      <c r="P1107" s="22"/>
    </row>
    <row r="1108" spans="11:16" s="1" customFormat="1" x14ac:dyDescent="0.25">
      <c r="K1108" s="28"/>
      <c r="L1108" s="28"/>
      <c r="N1108" s="22"/>
      <c r="O1108" s="22"/>
      <c r="P1108" s="22"/>
    </row>
    <row r="1109" spans="11:16" s="1" customFormat="1" x14ac:dyDescent="0.25">
      <c r="K1109" s="28"/>
      <c r="L1109" s="28"/>
      <c r="N1109" s="22"/>
      <c r="O1109" s="22"/>
      <c r="P1109" s="22"/>
    </row>
    <row r="1110" spans="11:16" s="1" customFormat="1" x14ac:dyDescent="0.25">
      <c r="K1110" s="28"/>
      <c r="L1110" s="28"/>
      <c r="N1110" s="22"/>
      <c r="O1110" s="22"/>
      <c r="P1110" s="22"/>
    </row>
    <row r="1111" spans="11:16" s="1" customFormat="1" x14ac:dyDescent="0.25">
      <c r="K1111" s="28"/>
      <c r="L1111" s="28"/>
      <c r="N1111" s="22"/>
      <c r="O1111" s="22"/>
      <c r="P1111" s="22"/>
    </row>
    <row r="1112" spans="11:16" s="1" customFormat="1" x14ac:dyDescent="0.25">
      <c r="K1112" s="28"/>
      <c r="L1112" s="28"/>
      <c r="N1112" s="22"/>
      <c r="O1112" s="22"/>
      <c r="P1112" s="22"/>
    </row>
    <row r="1113" spans="11:16" s="1" customFormat="1" x14ac:dyDescent="0.25">
      <c r="K1113" s="28"/>
      <c r="L1113" s="28"/>
      <c r="N1113" s="22"/>
      <c r="O1113" s="22"/>
      <c r="P1113" s="22"/>
    </row>
    <row r="1114" spans="11:16" s="1" customFormat="1" x14ac:dyDescent="0.25">
      <c r="K1114" s="28"/>
      <c r="L1114" s="28"/>
      <c r="N1114" s="22"/>
      <c r="O1114" s="22"/>
      <c r="P1114" s="22"/>
    </row>
    <row r="1115" spans="11:16" s="1" customFormat="1" x14ac:dyDescent="0.25">
      <c r="K1115" s="28"/>
      <c r="L1115" s="28"/>
      <c r="N1115" s="22"/>
      <c r="O1115" s="22"/>
      <c r="P1115" s="22"/>
    </row>
    <row r="1116" spans="11:16" s="1" customFormat="1" x14ac:dyDescent="0.25">
      <c r="K1116" s="28"/>
      <c r="L1116" s="28"/>
      <c r="N1116" s="22"/>
      <c r="O1116" s="22"/>
      <c r="P1116" s="22"/>
    </row>
    <row r="1117" spans="11:16" s="1" customFormat="1" x14ac:dyDescent="0.25">
      <c r="K1117" s="28"/>
      <c r="L1117" s="28"/>
      <c r="N1117" s="22"/>
      <c r="O1117" s="22"/>
      <c r="P1117" s="22"/>
    </row>
    <row r="1118" spans="11:16" s="1" customFormat="1" x14ac:dyDescent="0.25">
      <c r="K1118" s="28"/>
      <c r="L1118" s="28"/>
      <c r="N1118" s="22"/>
      <c r="O1118" s="22"/>
      <c r="P1118" s="22"/>
    </row>
    <row r="1119" spans="11:16" s="1" customFormat="1" x14ac:dyDescent="0.25">
      <c r="K1119" s="28"/>
      <c r="L1119" s="28"/>
      <c r="N1119" s="22"/>
      <c r="O1119" s="22"/>
      <c r="P1119" s="22"/>
    </row>
    <row r="1120" spans="11:16" s="1" customFormat="1" x14ac:dyDescent="0.25">
      <c r="K1120" s="28"/>
      <c r="L1120" s="28"/>
      <c r="N1120" s="22"/>
      <c r="O1120" s="22"/>
      <c r="P1120" s="22"/>
    </row>
    <row r="1121" spans="11:16" s="1" customFormat="1" x14ac:dyDescent="0.25">
      <c r="K1121" s="28"/>
      <c r="L1121" s="28"/>
      <c r="N1121" s="22"/>
      <c r="O1121" s="22"/>
      <c r="P1121" s="22"/>
    </row>
    <row r="1122" spans="11:16" s="1" customFormat="1" x14ac:dyDescent="0.25">
      <c r="K1122" s="28"/>
      <c r="L1122" s="28"/>
      <c r="N1122" s="22"/>
      <c r="O1122" s="22"/>
      <c r="P1122" s="22"/>
    </row>
    <row r="1123" spans="11:16" s="1" customFormat="1" x14ac:dyDescent="0.25">
      <c r="K1123" s="28"/>
      <c r="L1123" s="28"/>
      <c r="N1123" s="22"/>
      <c r="O1123" s="22"/>
      <c r="P1123" s="22"/>
    </row>
    <row r="1124" spans="11:16" s="1" customFormat="1" x14ac:dyDescent="0.25">
      <c r="K1124" s="28"/>
      <c r="L1124" s="28"/>
      <c r="N1124" s="22"/>
      <c r="O1124" s="22"/>
      <c r="P1124" s="22"/>
    </row>
    <row r="1125" spans="11:16" s="1" customFormat="1" x14ac:dyDescent="0.25">
      <c r="K1125" s="28"/>
      <c r="L1125" s="28"/>
      <c r="N1125" s="22"/>
      <c r="O1125" s="22"/>
      <c r="P1125" s="22"/>
    </row>
    <row r="1126" spans="11:16" s="1" customFormat="1" x14ac:dyDescent="0.25">
      <c r="K1126" s="28"/>
      <c r="L1126" s="28"/>
      <c r="N1126" s="22"/>
      <c r="O1126" s="22"/>
      <c r="P1126" s="22"/>
    </row>
    <row r="1127" spans="11:16" s="1" customFormat="1" x14ac:dyDescent="0.25">
      <c r="K1127" s="28"/>
      <c r="L1127" s="28"/>
      <c r="N1127" s="22"/>
      <c r="O1127" s="22"/>
      <c r="P1127" s="22"/>
    </row>
    <row r="1128" spans="11:16" s="1" customFormat="1" x14ac:dyDescent="0.25">
      <c r="K1128" s="28"/>
      <c r="L1128" s="28"/>
      <c r="N1128" s="22"/>
      <c r="O1128" s="22"/>
      <c r="P1128" s="22"/>
    </row>
    <row r="1129" spans="11:16" s="1" customFormat="1" x14ac:dyDescent="0.25">
      <c r="K1129" s="28"/>
      <c r="L1129" s="28"/>
      <c r="N1129" s="22"/>
      <c r="O1129" s="22"/>
      <c r="P1129" s="22"/>
    </row>
    <row r="1130" spans="11:16" s="1" customFormat="1" x14ac:dyDescent="0.25">
      <c r="K1130" s="28"/>
      <c r="L1130" s="28"/>
      <c r="N1130" s="22"/>
      <c r="O1130" s="22"/>
      <c r="P1130" s="22"/>
    </row>
    <row r="1131" spans="11:16" s="1" customFormat="1" x14ac:dyDescent="0.25">
      <c r="K1131" s="28"/>
      <c r="L1131" s="28"/>
      <c r="N1131" s="22"/>
      <c r="O1131" s="22"/>
      <c r="P1131" s="22"/>
    </row>
    <row r="1132" spans="11:16" s="1" customFormat="1" x14ac:dyDescent="0.25">
      <c r="K1132" s="28"/>
      <c r="L1132" s="28"/>
      <c r="N1132" s="22"/>
      <c r="O1132" s="22"/>
      <c r="P1132" s="22"/>
    </row>
    <row r="1133" spans="11:16" s="1" customFormat="1" x14ac:dyDescent="0.25">
      <c r="K1133" s="28"/>
      <c r="L1133" s="28"/>
      <c r="N1133" s="22"/>
      <c r="O1133" s="22"/>
      <c r="P1133" s="22"/>
    </row>
    <row r="1134" spans="11:16" s="1" customFormat="1" x14ac:dyDescent="0.25">
      <c r="K1134" s="28"/>
      <c r="L1134" s="28"/>
      <c r="N1134" s="22"/>
      <c r="O1134" s="22"/>
      <c r="P1134" s="22"/>
    </row>
    <row r="1135" spans="11:16" s="1" customFormat="1" x14ac:dyDescent="0.25">
      <c r="K1135" s="28"/>
      <c r="L1135" s="28"/>
      <c r="N1135" s="22"/>
      <c r="O1135" s="22"/>
      <c r="P1135" s="22"/>
    </row>
    <row r="1136" spans="11:16" s="1" customFormat="1" x14ac:dyDescent="0.25">
      <c r="K1136" s="28"/>
      <c r="L1136" s="28"/>
      <c r="N1136" s="22"/>
      <c r="O1136" s="22"/>
      <c r="P1136" s="22"/>
    </row>
    <row r="1137" spans="11:16" s="1" customFormat="1" x14ac:dyDescent="0.25">
      <c r="K1137" s="28"/>
      <c r="L1137" s="28"/>
      <c r="N1137" s="22"/>
      <c r="O1137" s="22"/>
      <c r="P1137" s="22"/>
    </row>
    <row r="1138" spans="11:16" s="1" customFormat="1" x14ac:dyDescent="0.25">
      <c r="K1138" s="28"/>
      <c r="L1138" s="28"/>
      <c r="N1138" s="22"/>
      <c r="O1138" s="22"/>
      <c r="P1138" s="22"/>
    </row>
    <row r="1139" spans="11:16" s="1" customFormat="1" x14ac:dyDescent="0.25">
      <c r="K1139" s="28"/>
      <c r="L1139" s="28"/>
      <c r="N1139" s="22"/>
      <c r="O1139" s="22"/>
      <c r="P1139" s="22"/>
    </row>
    <row r="1140" spans="11:16" s="1" customFormat="1" x14ac:dyDescent="0.25">
      <c r="K1140" s="28"/>
      <c r="L1140" s="28"/>
      <c r="N1140" s="22"/>
      <c r="O1140" s="22"/>
      <c r="P1140" s="22"/>
    </row>
    <row r="1141" spans="11:16" s="1" customFormat="1" x14ac:dyDescent="0.25">
      <c r="K1141" s="28"/>
      <c r="L1141" s="28"/>
      <c r="N1141" s="22"/>
      <c r="O1141" s="22"/>
      <c r="P1141" s="22"/>
    </row>
    <row r="1142" spans="11:16" s="1" customFormat="1" x14ac:dyDescent="0.25">
      <c r="K1142" s="28"/>
      <c r="L1142" s="28"/>
      <c r="N1142" s="22"/>
      <c r="O1142" s="22"/>
      <c r="P1142" s="22"/>
    </row>
    <row r="1143" spans="11:16" s="1" customFormat="1" x14ac:dyDescent="0.25">
      <c r="K1143" s="28"/>
      <c r="L1143" s="28"/>
      <c r="N1143" s="22"/>
      <c r="O1143" s="22"/>
      <c r="P1143" s="22"/>
    </row>
    <row r="1144" spans="11:16" s="1" customFormat="1" x14ac:dyDescent="0.25">
      <c r="K1144" s="28"/>
      <c r="L1144" s="28"/>
      <c r="N1144" s="22"/>
      <c r="O1144" s="22"/>
      <c r="P1144" s="22"/>
    </row>
    <row r="1145" spans="11:16" s="1" customFormat="1" x14ac:dyDescent="0.25">
      <c r="K1145" s="28"/>
      <c r="L1145" s="28"/>
      <c r="N1145" s="22"/>
      <c r="O1145" s="22"/>
      <c r="P1145" s="22"/>
    </row>
    <row r="1146" spans="11:16" s="1" customFormat="1" x14ac:dyDescent="0.25">
      <c r="K1146" s="28"/>
      <c r="L1146" s="28"/>
      <c r="N1146" s="22"/>
      <c r="O1146" s="22"/>
      <c r="P1146" s="22"/>
    </row>
    <row r="1147" spans="11:16" s="1" customFormat="1" x14ac:dyDescent="0.25">
      <c r="K1147" s="28"/>
      <c r="L1147" s="28"/>
      <c r="N1147" s="22"/>
      <c r="O1147" s="22"/>
      <c r="P1147" s="22"/>
    </row>
    <row r="1148" spans="11:16" s="1" customFormat="1" x14ac:dyDescent="0.25">
      <c r="K1148" s="28"/>
      <c r="L1148" s="28"/>
      <c r="N1148" s="22"/>
      <c r="O1148" s="22"/>
      <c r="P1148" s="22"/>
    </row>
    <row r="1149" spans="11:16" s="1" customFormat="1" x14ac:dyDescent="0.25">
      <c r="K1149" s="28"/>
      <c r="L1149" s="28"/>
      <c r="N1149" s="22"/>
      <c r="O1149" s="22"/>
      <c r="P1149" s="22"/>
    </row>
    <row r="1150" spans="11:16" s="1" customFormat="1" x14ac:dyDescent="0.25">
      <c r="K1150" s="28"/>
      <c r="L1150" s="28"/>
      <c r="N1150" s="22"/>
      <c r="O1150" s="22"/>
      <c r="P1150" s="22"/>
    </row>
    <row r="1151" spans="11:16" s="1" customFormat="1" x14ac:dyDescent="0.25">
      <c r="K1151" s="28"/>
      <c r="L1151" s="28"/>
      <c r="N1151" s="22"/>
      <c r="O1151" s="22"/>
      <c r="P1151" s="22"/>
    </row>
    <row r="1152" spans="11:16" s="1" customFormat="1" x14ac:dyDescent="0.25">
      <c r="K1152" s="28"/>
      <c r="L1152" s="28"/>
      <c r="N1152" s="22"/>
      <c r="O1152" s="22"/>
      <c r="P1152" s="22"/>
    </row>
    <row r="1153" spans="11:16" s="1" customFormat="1" x14ac:dyDescent="0.25">
      <c r="K1153" s="28"/>
      <c r="L1153" s="28"/>
      <c r="N1153" s="22"/>
      <c r="O1153" s="22"/>
      <c r="P1153" s="22"/>
    </row>
    <row r="1154" spans="11:16" s="1" customFormat="1" x14ac:dyDescent="0.25">
      <c r="K1154" s="28"/>
      <c r="L1154" s="28"/>
      <c r="N1154" s="22"/>
      <c r="O1154" s="22"/>
      <c r="P1154" s="22"/>
    </row>
    <row r="1155" spans="11:16" s="1" customFormat="1" x14ac:dyDescent="0.25">
      <c r="K1155" s="28"/>
      <c r="L1155" s="28"/>
      <c r="N1155" s="22"/>
      <c r="O1155" s="22"/>
      <c r="P1155" s="22"/>
    </row>
    <row r="1156" spans="11:16" s="1" customFormat="1" x14ac:dyDescent="0.25">
      <c r="K1156" s="28"/>
      <c r="L1156" s="28"/>
      <c r="N1156" s="22"/>
      <c r="O1156" s="22"/>
      <c r="P1156" s="22"/>
    </row>
    <row r="1157" spans="11:16" s="1" customFormat="1" x14ac:dyDescent="0.25">
      <c r="K1157" s="28"/>
      <c r="L1157" s="28"/>
      <c r="N1157" s="22"/>
      <c r="O1157" s="22"/>
      <c r="P1157" s="22"/>
    </row>
    <row r="1158" spans="11:16" s="1" customFormat="1" x14ac:dyDescent="0.25">
      <c r="K1158" s="28"/>
      <c r="L1158" s="28"/>
      <c r="N1158" s="22"/>
      <c r="O1158" s="22"/>
      <c r="P1158" s="22"/>
    </row>
    <row r="1159" spans="11:16" s="1" customFormat="1" x14ac:dyDescent="0.25">
      <c r="K1159" s="28"/>
      <c r="L1159" s="28"/>
      <c r="N1159" s="22"/>
      <c r="O1159" s="22"/>
      <c r="P1159" s="22"/>
    </row>
    <row r="1160" spans="11:16" s="1" customFormat="1" x14ac:dyDescent="0.25">
      <c r="K1160" s="28"/>
      <c r="L1160" s="28"/>
      <c r="N1160" s="22"/>
      <c r="O1160" s="22"/>
      <c r="P1160" s="22"/>
    </row>
    <row r="1161" spans="11:16" s="1" customFormat="1" x14ac:dyDescent="0.25">
      <c r="K1161" s="28"/>
      <c r="L1161" s="28"/>
      <c r="N1161" s="22"/>
      <c r="O1161" s="22"/>
      <c r="P1161" s="22"/>
    </row>
    <row r="1162" spans="11:16" s="1" customFormat="1" x14ac:dyDescent="0.25">
      <c r="K1162" s="28"/>
      <c r="L1162" s="28"/>
      <c r="N1162" s="22"/>
      <c r="O1162" s="22"/>
      <c r="P1162" s="22"/>
    </row>
    <row r="1163" spans="11:16" s="1" customFormat="1" x14ac:dyDescent="0.25">
      <c r="K1163" s="28"/>
      <c r="L1163" s="28"/>
      <c r="N1163" s="22"/>
      <c r="O1163" s="22"/>
      <c r="P1163" s="22"/>
    </row>
    <row r="1164" spans="11:16" s="1" customFormat="1" x14ac:dyDescent="0.25">
      <c r="K1164" s="28"/>
      <c r="L1164" s="28"/>
      <c r="N1164" s="22"/>
      <c r="O1164" s="22"/>
      <c r="P1164" s="22"/>
    </row>
    <row r="1165" spans="11:16" s="1" customFormat="1" x14ac:dyDescent="0.25">
      <c r="K1165" s="28"/>
      <c r="L1165" s="28"/>
      <c r="N1165" s="22"/>
      <c r="O1165" s="22"/>
      <c r="P1165" s="22"/>
    </row>
    <row r="1166" spans="11:16" s="1" customFormat="1" x14ac:dyDescent="0.25">
      <c r="K1166" s="28"/>
      <c r="L1166" s="28"/>
      <c r="N1166" s="22"/>
      <c r="O1166" s="22"/>
      <c r="P1166" s="22"/>
    </row>
    <row r="1167" spans="11:16" s="1" customFormat="1" x14ac:dyDescent="0.25">
      <c r="K1167" s="28"/>
      <c r="L1167" s="28"/>
      <c r="N1167" s="22"/>
      <c r="O1167" s="22"/>
      <c r="P1167" s="22"/>
    </row>
    <row r="1168" spans="11:16" s="1" customFormat="1" x14ac:dyDescent="0.25">
      <c r="K1168" s="28"/>
      <c r="L1168" s="28"/>
      <c r="N1168" s="22"/>
      <c r="O1168" s="22"/>
      <c r="P1168" s="22"/>
    </row>
    <row r="1169" spans="11:16" s="1" customFormat="1" x14ac:dyDescent="0.25">
      <c r="K1169" s="28"/>
      <c r="L1169" s="28"/>
      <c r="N1169" s="22"/>
      <c r="O1169" s="22"/>
      <c r="P1169" s="22"/>
    </row>
    <row r="1170" spans="11:16" s="1" customFormat="1" x14ac:dyDescent="0.25">
      <c r="K1170" s="28"/>
      <c r="L1170" s="28"/>
      <c r="N1170" s="22"/>
      <c r="O1170" s="22"/>
      <c r="P1170" s="22"/>
    </row>
    <row r="1171" spans="11:16" s="1" customFormat="1" x14ac:dyDescent="0.25">
      <c r="K1171" s="28"/>
      <c r="L1171" s="28"/>
      <c r="N1171" s="22"/>
      <c r="O1171" s="22"/>
      <c r="P1171" s="22"/>
    </row>
    <row r="1172" spans="11:16" s="1" customFormat="1" x14ac:dyDescent="0.25">
      <c r="K1172" s="28"/>
      <c r="L1172" s="28"/>
      <c r="N1172" s="22"/>
      <c r="O1172" s="22"/>
      <c r="P1172" s="22"/>
    </row>
    <row r="1173" spans="11:16" s="1" customFormat="1" x14ac:dyDescent="0.25">
      <c r="K1173" s="28"/>
      <c r="L1173" s="28"/>
      <c r="N1173" s="22"/>
      <c r="O1173" s="22"/>
      <c r="P1173" s="22"/>
    </row>
    <row r="1174" spans="11:16" s="1" customFormat="1" x14ac:dyDescent="0.25">
      <c r="K1174" s="28"/>
      <c r="L1174" s="28"/>
      <c r="N1174" s="22"/>
      <c r="O1174" s="22"/>
      <c r="P1174" s="22"/>
    </row>
    <row r="1175" spans="11:16" s="1" customFormat="1" x14ac:dyDescent="0.25">
      <c r="K1175" s="28"/>
      <c r="L1175" s="28"/>
      <c r="N1175" s="22"/>
      <c r="O1175" s="22"/>
      <c r="P1175" s="22"/>
    </row>
    <row r="1176" spans="11:16" s="1" customFormat="1" x14ac:dyDescent="0.25">
      <c r="K1176" s="28"/>
      <c r="L1176" s="28"/>
      <c r="N1176" s="22"/>
      <c r="O1176" s="22"/>
      <c r="P1176" s="22"/>
    </row>
    <row r="1177" spans="11:16" s="1" customFormat="1" x14ac:dyDescent="0.25">
      <c r="K1177" s="28"/>
      <c r="L1177" s="28"/>
      <c r="N1177" s="22"/>
      <c r="O1177" s="22"/>
      <c r="P1177" s="22"/>
    </row>
    <row r="1178" spans="11:16" s="1" customFormat="1" x14ac:dyDescent="0.25">
      <c r="K1178" s="28"/>
      <c r="L1178" s="28"/>
      <c r="N1178" s="22"/>
      <c r="O1178" s="22"/>
      <c r="P1178" s="22"/>
    </row>
    <row r="1179" spans="11:16" s="1" customFormat="1" x14ac:dyDescent="0.25">
      <c r="K1179" s="28"/>
      <c r="L1179" s="28"/>
      <c r="N1179" s="22"/>
      <c r="O1179" s="22"/>
      <c r="P1179" s="22"/>
    </row>
    <row r="1180" spans="11:16" s="1" customFormat="1" x14ac:dyDescent="0.25">
      <c r="K1180" s="28"/>
      <c r="L1180" s="28"/>
      <c r="N1180" s="22"/>
      <c r="O1180" s="22"/>
      <c r="P1180" s="22"/>
    </row>
    <row r="1181" spans="11:16" s="1" customFormat="1" x14ac:dyDescent="0.25">
      <c r="K1181" s="28"/>
      <c r="L1181" s="28"/>
      <c r="N1181" s="22"/>
      <c r="O1181" s="22"/>
      <c r="P1181" s="22"/>
    </row>
    <row r="1182" spans="11:16" s="1" customFormat="1" x14ac:dyDescent="0.25">
      <c r="K1182" s="28"/>
      <c r="L1182" s="28"/>
      <c r="N1182" s="22"/>
      <c r="O1182" s="22"/>
      <c r="P1182" s="22"/>
    </row>
    <row r="1183" spans="11:16" s="1" customFormat="1" x14ac:dyDescent="0.25">
      <c r="K1183" s="28"/>
      <c r="L1183" s="28"/>
      <c r="N1183" s="22"/>
      <c r="O1183" s="22"/>
      <c r="P1183" s="22"/>
    </row>
    <row r="1184" spans="11:16" s="1" customFormat="1" x14ac:dyDescent="0.25">
      <c r="K1184" s="28"/>
      <c r="L1184" s="28"/>
      <c r="N1184" s="22"/>
      <c r="O1184" s="22"/>
      <c r="P1184" s="22"/>
    </row>
    <row r="1185" spans="11:16" s="1" customFormat="1" x14ac:dyDescent="0.25">
      <c r="K1185" s="28"/>
      <c r="L1185" s="28"/>
      <c r="N1185" s="22"/>
      <c r="O1185" s="22"/>
      <c r="P1185" s="22"/>
    </row>
    <row r="1186" spans="11:16" s="1" customFormat="1" x14ac:dyDescent="0.25">
      <c r="K1186" s="28"/>
      <c r="L1186" s="28"/>
      <c r="N1186" s="22"/>
      <c r="O1186" s="22"/>
      <c r="P1186" s="22"/>
    </row>
    <row r="1187" spans="11:16" s="1" customFormat="1" x14ac:dyDescent="0.25">
      <c r="K1187" s="28"/>
      <c r="L1187" s="28"/>
      <c r="N1187" s="22"/>
      <c r="O1187" s="22"/>
      <c r="P1187" s="22"/>
    </row>
    <row r="1188" spans="11:16" s="1" customFormat="1" x14ac:dyDescent="0.25">
      <c r="K1188" s="28"/>
      <c r="L1188" s="28"/>
      <c r="N1188" s="22"/>
      <c r="O1188" s="22"/>
      <c r="P1188" s="22"/>
    </row>
    <row r="1189" spans="11:16" s="1" customFormat="1" x14ac:dyDescent="0.25">
      <c r="K1189" s="28"/>
      <c r="L1189" s="28"/>
      <c r="N1189" s="22"/>
      <c r="O1189" s="22"/>
      <c r="P1189" s="22"/>
    </row>
    <row r="1190" spans="11:16" s="1" customFormat="1" x14ac:dyDescent="0.25">
      <c r="K1190" s="28"/>
      <c r="L1190" s="28"/>
      <c r="N1190" s="22"/>
      <c r="O1190" s="22"/>
      <c r="P1190" s="22"/>
    </row>
    <row r="1191" spans="11:16" s="1" customFormat="1" x14ac:dyDescent="0.25">
      <c r="K1191" s="28"/>
      <c r="L1191" s="28"/>
      <c r="N1191" s="22"/>
      <c r="O1191" s="22"/>
      <c r="P1191" s="22"/>
    </row>
    <row r="1192" spans="11:16" s="1" customFormat="1" x14ac:dyDescent="0.25">
      <c r="K1192" s="28"/>
      <c r="L1192" s="28"/>
      <c r="N1192" s="22"/>
      <c r="O1192" s="22"/>
      <c r="P1192" s="22"/>
    </row>
    <row r="1193" spans="11:16" s="1" customFormat="1" x14ac:dyDescent="0.25">
      <c r="K1193" s="28"/>
      <c r="L1193" s="28"/>
      <c r="N1193" s="22"/>
      <c r="O1193" s="22"/>
      <c r="P1193" s="22"/>
    </row>
    <row r="1194" spans="11:16" s="1" customFormat="1" x14ac:dyDescent="0.25">
      <c r="K1194" s="28"/>
      <c r="L1194" s="28"/>
      <c r="N1194" s="22"/>
      <c r="O1194" s="22"/>
      <c r="P1194" s="22"/>
    </row>
    <row r="1195" spans="11:16" s="1" customFormat="1" x14ac:dyDescent="0.25">
      <c r="K1195" s="28"/>
      <c r="L1195" s="28"/>
      <c r="N1195" s="22"/>
      <c r="O1195" s="22"/>
      <c r="P1195" s="22"/>
    </row>
    <row r="1196" spans="11:16" s="1" customFormat="1" x14ac:dyDescent="0.25">
      <c r="K1196" s="28"/>
      <c r="L1196" s="28"/>
      <c r="N1196" s="22"/>
      <c r="O1196" s="22"/>
      <c r="P1196" s="22"/>
    </row>
    <row r="1197" spans="11:16" s="1" customFormat="1" x14ac:dyDescent="0.25">
      <c r="K1197" s="28"/>
      <c r="L1197" s="28"/>
      <c r="N1197" s="22"/>
      <c r="O1197" s="22"/>
      <c r="P1197" s="22"/>
    </row>
    <row r="1198" spans="11:16" s="1" customFormat="1" x14ac:dyDescent="0.25">
      <c r="K1198" s="28"/>
      <c r="L1198" s="28"/>
      <c r="N1198" s="22"/>
      <c r="O1198" s="22"/>
      <c r="P1198" s="22"/>
    </row>
    <row r="1199" spans="11:16" s="1" customFormat="1" x14ac:dyDescent="0.25">
      <c r="K1199" s="28"/>
      <c r="L1199" s="28"/>
      <c r="N1199" s="22"/>
      <c r="O1199" s="22"/>
      <c r="P1199" s="22"/>
    </row>
    <row r="1200" spans="11:16" s="1" customFormat="1" x14ac:dyDescent="0.25">
      <c r="K1200" s="28"/>
      <c r="L1200" s="28"/>
      <c r="N1200" s="22"/>
      <c r="O1200" s="22"/>
      <c r="P1200" s="22"/>
    </row>
    <row r="1201" spans="11:16" s="1" customFormat="1" x14ac:dyDescent="0.25">
      <c r="K1201" s="28"/>
      <c r="L1201" s="28"/>
      <c r="N1201" s="22"/>
      <c r="O1201" s="22"/>
      <c r="P1201" s="22"/>
    </row>
    <row r="1202" spans="11:16" s="1" customFormat="1" x14ac:dyDescent="0.25">
      <c r="K1202" s="28"/>
      <c r="L1202" s="28"/>
      <c r="N1202" s="22"/>
      <c r="O1202" s="22"/>
      <c r="P1202" s="22"/>
    </row>
    <row r="1203" spans="11:16" s="1" customFormat="1" x14ac:dyDescent="0.25">
      <c r="K1203" s="28"/>
      <c r="L1203" s="28"/>
      <c r="N1203" s="22"/>
      <c r="O1203" s="22"/>
      <c r="P1203" s="22"/>
    </row>
    <row r="1204" spans="11:16" s="1" customFormat="1" x14ac:dyDescent="0.25">
      <c r="K1204" s="28"/>
      <c r="L1204" s="28"/>
      <c r="N1204" s="22"/>
      <c r="O1204" s="22"/>
      <c r="P1204" s="22"/>
    </row>
    <row r="1205" spans="11:16" s="1" customFormat="1" x14ac:dyDescent="0.25">
      <c r="K1205" s="28"/>
      <c r="L1205" s="28"/>
      <c r="N1205" s="22"/>
      <c r="O1205" s="22"/>
      <c r="P1205" s="22"/>
    </row>
    <row r="1206" spans="11:16" s="1" customFormat="1" x14ac:dyDescent="0.25">
      <c r="K1206" s="28"/>
      <c r="L1206" s="28"/>
      <c r="N1206" s="22"/>
      <c r="O1206" s="22"/>
      <c r="P1206" s="22"/>
    </row>
    <row r="1207" spans="11:16" s="1" customFormat="1" x14ac:dyDescent="0.25">
      <c r="K1207" s="28"/>
      <c r="L1207" s="28"/>
      <c r="N1207" s="22"/>
      <c r="O1207" s="22"/>
      <c r="P1207" s="22"/>
    </row>
    <row r="1208" spans="11:16" s="1" customFormat="1" x14ac:dyDescent="0.25">
      <c r="K1208" s="28"/>
      <c r="L1208" s="28"/>
      <c r="N1208" s="22"/>
      <c r="O1208" s="22"/>
      <c r="P1208" s="22"/>
    </row>
    <row r="1209" spans="11:16" s="1" customFormat="1" x14ac:dyDescent="0.25">
      <c r="K1209" s="28"/>
      <c r="L1209" s="28"/>
      <c r="N1209" s="22"/>
      <c r="O1209" s="22"/>
      <c r="P1209" s="22"/>
    </row>
    <row r="1210" spans="11:16" s="1" customFormat="1" x14ac:dyDescent="0.25">
      <c r="K1210" s="28"/>
      <c r="L1210" s="28"/>
      <c r="N1210" s="22"/>
      <c r="O1210" s="22"/>
      <c r="P1210" s="22"/>
    </row>
    <row r="1211" spans="11:16" s="1" customFormat="1" x14ac:dyDescent="0.25">
      <c r="K1211" s="28"/>
      <c r="L1211" s="28"/>
      <c r="N1211" s="22"/>
      <c r="O1211" s="22"/>
      <c r="P1211" s="22"/>
    </row>
    <row r="1212" spans="11:16" s="1" customFormat="1" x14ac:dyDescent="0.25">
      <c r="K1212" s="28"/>
      <c r="L1212" s="28"/>
      <c r="N1212" s="22"/>
      <c r="O1212" s="22"/>
      <c r="P1212" s="22"/>
    </row>
    <row r="1213" spans="11:16" s="1" customFormat="1" x14ac:dyDescent="0.25">
      <c r="K1213" s="28"/>
      <c r="L1213" s="28"/>
      <c r="N1213" s="22"/>
      <c r="O1213" s="22"/>
      <c r="P1213" s="22"/>
    </row>
    <row r="1214" spans="11:16" s="1" customFormat="1" x14ac:dyDescent="0.25">
      <c r="K1214" s="28"/>
      <c r="L1214" s="28"/>
      <c r="N1214" s="22"/>
      <c r="O1214" s="22"/>
      <c r="P1214" s="22"/>
    </row>
    <row r="1215" spans="11:16" s="1" customFormat="1" x14ac:dyDescent="0.25">
      <c r="K1215" s="28"/>
      <c r="L1215" s="28"/>
      <c r="N1215" s="22"/>
      <c r="O1215" s="22"/>
      <c r="P1215" s="22"/>
    </row>
    <row r="1216" spans="11:16" s="1" customFormat="1" x14ac:dyDescent="0.25">
      <c r="K1216" s="28"/>
      <c r="L1216" s="28"/>
      <c r="N1216" s="22"/>
      <c r="O1216" s="22"/>
      <c r="P1216" s="22"/>
    </row>
    <row r="1217" spans="11:16" s="1" customFormat="1" x14ac:dyDescent="0.25">
      <c r="K1217" s="28"/>
      <c r="L1217" s="28"/>
      <c r="N1217" s="22"/>
      <c r="O1217" s="22"/>
      <c r="P1217" s="22"/>
    </row>
    <row r="1218" spans="11:16" s="1" customFormat="1" x14ac:dyDescent="0.25">
      <c r="K1218" s="28"/>
      <c r="L1218" s="28"/>
      <c r="N1218" s="22"/>
      <c r="O1218" s="22"/>
      <c r="P1218" s="22"/>
    </row>
    <row r="1219" spans="11:16" s="1" customFormat="1" x14ac:dyDescent="0.25">
      <c r="K1219" s="28"/>
      <c r="L1219" s="28"/>
      <c r="N1219" s="22"/>
      <c r="O1219" s="22"/>
      <c r="P1219" s="22"/>
    </row>
    <row r="1220" spans="11:16" s="1" customFormat="1" x14ac:dyDescent="0.25">
      <c r="K1220" s="28"/>
      <c r="L1220" s="28"/>
      <c r="N1220" s="22"/>
      <c r="O1220" s="22"/>
      <c r="P1220" s="22"/>
    </row>
    <row r="1221" spans="11:16" s="1" customFormat="1" x14ac:dyDescent="0.25">
      <c r="K1221" s="28"/>
      <c r="L1221" s="28"/>
      <c r="N1221" s="22"/>
      <c r="O1221" s="22"/>
      <c r="P1221" s="22"/>
    </row>
    <row r="1222" spans="11:16" s="1" customFormat="1" x14ac:dyDescent="0.25">
      <c r="K1222" s="28"/>
      <c r="L1222" s="28"/>
      <c r="N1222" s="22"/>
      <c r="O1222" s="22"/>
      <c r="P1222" s="22"/>
    </row>
    <row r="1223" spans="11:16" s="1" customFormat="1" x14ac:dyDescent="0.25">
      <c r="K1223" s="28"/>
      <c r="L1223" s="28"/>
      <c r="N1223" s="22"/>
      <c r="O1223" s="22"/>
      <c r="P1223" s="22"/>
    </row>
    <row r="1224" spans="11:16" s="1" customFormat="1" x14ac:dyDescent="0.25">
      <c r="K1224" s="28"/>
      <c r="L1224" s="28"/>
      <c r="N1224" s="22"/>
      <c r="O1224" s="22"/>
      <c r="P1224" s="22"/>
    </row>
    <row r="1225" spans="11:16" s="1" customFormat="1" x14ac:dyDescent="0.25">
      <c r="K1225" s="28"/>
      <c r="L1225" s="28"/>
      <c r="N1225" s="22"/>
      <c r="O1225" s="22"/>
      <c r="P1225" s="22"/>
    </row>
    <row r="1226" spans="11:16" s="1" customFormat="1" x14ac:dyDescent="0.25">
      <c r="K1226" s="28"/>
      <c r="L1226" s="28"/>
      <c r="N1226" s="22"/>
      <c r="O1226" s="22"/>
      <c r="P1226" s="22"/>
    </row>
    <row r="1227" spans="11:16" s="1" customFormat="1" x14ac:dyDescent="0.25">
      <c r="K1227" s="28"/>
      <c r="L1227" s="28"/>
      <c r="N1227" s="22"/>
      <c r="O1227" s="22"/>
      <c r="P1227" s="22"/>
    </row>
    <row r="1228" spans="11:16" s="1" customFormat="1" x14ac:dyDescent="0.25">
      <c r="K1228" s="28"/>
      <c r="L1228" s="28"/>
      <c r="N1228" s="22"/>
      <c r="O1228" s="22"/>
      <c r="P1228" s="22"/>
    </row>
    <row r="1229" spans="11:16" s="1" customFormat="1" x14ac:dyDescent="0.25">
      <c r="K1229" s="28"/>
      <c r="L1229" s="28"/>
      <c r="N1229" s="22"/>
      <c r="O1229" s="22"/>
      <c r="P1229" s="22"/>
    </row>
    <row r="1230" spans="11:16" s="1" customFormat="1" x14ac:dyDescent="0.25">
      <c r="K1230" s="28"/>
      <c r="L1230" s="28"/>
      <c r="N1230" s="22"/>
      <c r="O1230" s="22"/>
      <c r="P1230" s="22"/>
    </row>
    <row r="1231" spans="11:16" s="1" customFormat="1" x14ac:dyDescent="0.25">
      <c r="K1231" s="28"/>
      <c r="L1231" s="28"/>
      <c r="N1231" s="22"/>
      <c r="O1231" s="22"/>
      <c r="P1231" s="22"/>
    </row>
    <row r="1232" spans="11:16" s="1" customFormat="1" x14ac:dyDescent="0.25">
      <c r="K1232" s="28"/>
      <c r="L1232" s="28"/>
      <c r="N1232" s="22"/>
      <c r="O1232" s="22"/>
      <c r="P1232" s="22"/>
    </row>
    <row r="1233" spans="11:16" s="1" customFormat="1" x14ac:dyDescent="0.25">
      <c r="K1233" s="28"/>
      <c r="L1233" s="28"/>
      <c r="N1233" s="22"/>
      <c r="O1233" s="22"/>
      <c r="P1233" s="22"/>
    </row>
    <row r="1234" spans="11:16" s="1" customFormat="1" x14ac:dyDescent="0.25">
      <c r="K1234" s="28"/>
      <c r="L1234" s="28"/>
      <c r="N1234" s="22"/>
      <c r="O1234" s="22"/>
      <c r="P1234" s="22"/>
    </row>
    <row r="1235" spans="11:16" s="1" customFormat="1" x14ac:dyDescent="0.25">
      <c r="K1235" s="28"/>
      <c r="L1235" s="28"/>
      <c r="N1235" s="22"/>
      <c r="O1235" s="22"/>
      <c r="P1235" s="22"/>
    </row>
    <row r="1236" spans="11:16" s="1" customFormat="1" x14ac:dyDescent="0.25">
      <c r="K1236" s="28"/>
      <c r="L1236" s="28"/>
      <c r="N1236" s="22"/>
      <c r="O1236" s="22"/>
      <c r="P1236" s="22"/>
    </row>
    <row r="1237" spans="11:16" s="1" customFormat="1" x14ac:dyDescent="0.25">
      <c r="K1237" s="28"/>
      <c r="L1237" s="28"/>
      <c r="N1237" s="22"/>
      <c r="O1237" s="22"/>
      <c r="P1237" s="22"/>
    </row>
    <row r="1238" spans="11:16" s="1" customFormat="1" x14ac:dyDescent="0.25">
      <c r="K1238" s="28"/>
      <c r="L1238" s="28"/>
      <c r="N1238" s="22"/>
      <c r="O1238" s="22"/>
      <c r="P1238" s="22"/>
    </row>
    <row r="1239" spans="11:16" s="1" customFormat="1" x14ac:dyDescent="0.25">
      <c r="K1239" s="28"/>
      <c r="L1239" s="28"/>
      <c r="N1239" s="22"/>
      <c r="O1239" s="22"/>
      <c r="P1239" s="22"/>
    </row>
    <row r="1240" spans="11:16" s="1" customFormat="1" x14ac:dyDescent="0.25">
      <c r="K1240" s="28"/>
      <c r="L1240" s="28"/>
      <c r="N1240" s="22"/>
      <c r="O1240" s="22"/>
      <c r="P1240" s="22"/>
    </row>
    <row r="1241" spans="11:16" s="1" customFormat="1" x14ac:dyDescent="0.25">
      <c r="K1241" s="28"/>
      <c r="L1241" s="28"/>
      <c r="N1241" s="22"/>
      <c r="O1241" s="22"/>
      <c r="P1241" s="22"/>
    </row>
    <row r="1242" spans="11:16" s="1" customFormat="1" x14ac:dyDescent="0.25">
      <c r="K1242" s="28"/>
      <c r="L1242" s="28"/>
      <c r="N1242" s="22"/>
      <c r="O1242" s="22"/>
      <c r="P1242" s="22"/>
    </row>
    <row r="1243" spans="11:16" s="1" customFormat="1" x14ac:dyDescent="0.25">
      <c r="K1243" s="28"/>
      <c r="L1243" s="28"/>
      <c r="N1243" s="22"/>
      <c r="O1243" s="22"/>
      <c r="P1243" s="22"/>
    </row>
    <row r="1244" spans="11:16" s="1" customFormat="1" x14ac:dyDescent="0.25">
      <c r="K1244" s="28"/>
      <c r="L1244" s="28"/>
      <c r="N1244" s="22"/>
      <c r="O1244" s="22"/>
      <c r="P1244" s="22"/>
    </row>
    <row r="1245" spans="11:16" s="1" customFormat="1" x14ac:dyDescent="0.25">
      <c r="K1245" s="28"/>
      <c r="L1245" s="28"/>
      <c r="N1245" s="22"/>
      <c r="O1245" s="22"/>
      <c r="P1245" s="22"/>
    </row>
    <row r="1246" spans="11:16" s="1" customFormat="1" x14ac:dyDescent="0.25">
      <c r="K1246" s="28"/>
      <c r="L1246" s="28"/>
      <c r="N1246" s="22"/>
      <c r="O1246" s="22"/>
      <c r="P1246" s="22"/>
    </row>
    <row r="1247" spans="11:16" s="1" customFormat="1" x14ac:dyDescent="0.25">
      <c r="K1247" s="28"/>
      <c r="L1247" s="28"/>
      <c r="N1247" s="22"/>
      <c r="O1247" s="22"/>
      <c r="P1247" s="22"/>
    </row>
    <row r="1248" spans="11:16" s="1" customFormat="1" x14ac:dyDescent="0.25">
      <c r="K1248" s="28"/>
      <c r="L1248" s="28"/>
      <c r="N1248" s="22"/>
      <c r="O1248" s="22"/>
      <c r="P1248" s="22"/>
    </row>
    <row r="1249" spans="11:16" s="1" customFormat="1" x14ac:dyDescent="0.25">
      <c r="K1249" s="28"/>
      <c r="L1249" s="28"/>
      <c r="N1249" s="22"/>
      <c r="O1249" s="22"/>
      <c r="P1249" s="22"/>
    </row>
    <row r="1250" spans="11:16" s="1" customFormat="1" x14ac:dyDescent="0.25">
      <c r="K1250" s="28"/>
      <c r="L1250" s="28"/>
      <c r="N1250" s="22"/>
      <c r="O1250" s="22"/>
      <c r="P1250" s="22"/>
    </row>
    <row r="1251" spans="11:16" s="1" customFormat="1" x14ac:dyDescent="0.25">
      <c r="K1251" s="28"/>
      <c r="L1251" s="28"/>
      <c r="N1251" s="22"/>
      <c r="O1251" s="22"/>
      <c r="P1251" s="22"/>
    </row>
    <row r="1252" spans="11:16" s="1" customFormat="1" x14ac:dyDescent="0.25">
      <c r="K1252" s="28"/>
      <c r="L1252" s="28"/>
      <c r="N1252" s="22"/>
      <c r="O1252" s="22"/>
      <c r="P1252" s="22"/>
    </row>
    <row r="1253" spans="11:16" s="1" customFormat="1" x14ac:dyDescent="0.25">
      <c r="K1253" s="28"/>
      <c r="L1253" s="28"/>
      <c r="N1253" s="22"/>
      <c r="O1253" s="22"/>
      <c r="P1253" s="22"/>
    </row>
    <row r="1254" spans="11:16" s="1" customFormat="1" x14ac:dyDescent="0.25">
      <c r="K1254" s="28"/>
      <c r="L1254" s="28"/>
      <c r="N1254" s="22"/>
      <c r="O1254" s="22"/>
      <c r="P1254" s="22"/>
    </row>
    <row r="1255" spans="11:16" s="1" customFormat="1" x14ac:dyDescent="0.25">
      <c r="K1255" s="28"/>
      <c r="L1255" s="28"/>
      <c r="N1255" s="22"/>
      <c r="O1255" s="22"/>
      <c r="P1255" s="22"/>
    </row>
    <row r="1256" spans="11:16" s="1" customFormat="1" x14ac:dyDescent="0.25">
      <c r="K1256" s="28"/>
      <c r="L1256" s="28"/>
      <c r="N1256" s="22"/>
      <c r="O1256" s="22"/>
      <c r="P1256" s="22"/>
    </row>
    <row r="1257" spans="11:16" s="1" customFormat="1" x14ac:dyDescent="0.25">
      <c r="K1257" s="28"/>
      <c r="L1257" s="28"/>
      <c r="N1257" s="22"/>
      <c r="O1257" s="22"/>
      <c r="P1257" s="22"/>
    </row>
    <row r="1258" spans="11:16" s="1" customFormat="1" x14ac:dyDescent="0.25">
      <c r="K1258" s="28"/>
      <c r="L1258" s="28"/>
      <c r="N1258" s="22"/>
      <c r="O1258" s="22"/>
      <c r="P1258" s="22"/>
    </row>
    <row r="1259" spans="11:16" s="1" customFormat="1" x14ac:dyDescent="0.25">
      <c r="K1259" s="28"/>
      <c r="L1259" s="28"/>
      <c r="N1259" s="22"/>
      <c r="O1259" s="22"/>
      <c r="P1259" s="22"/>
    </row>
    <row r="1260" spans="11:16" s="1" customFormat="1" x14ac:dyDescent="0.25">
      <c r="K1260" s="28"/>
      <c r="L1260" s="28"/>
      <c r="N1260" s="22"/>
      <c r="O1260" s="22"/>
      <c r="P1260" s="22"/>
    </row>
    <row r="1261" spans="11:16" s="1" customFormat="1" x14ac:dyDescent="0.25">
      <c r="K1261" s="28"/>
      <c r="L1261" s="28"/>
      <c r="N1261" s="22"/>
      <c r="O1261" s="22"/>
      <c r="P1261" s="22"/>
    </row>
    <row r="1262" spans="11:16" s="1" customFormat="1" x14ac:dyDescent="0.25">
      <c r="K1262" s="28"/>
      <c r="L1262" s="28"/>
      <c r="N1262" s="22"/>
      <c r="O1262" s="22"/>
      <c r="P1262" s="22"/>
    </row>
    <row r="1263" spans="11:16" s="1" customFormat="1" x14ac:dyDescent="0.25">
      <c r="K1263" s="28"/>
      <c r="L1263" s="28"/>
      <c r="N1263" s="22"/>
      <c r="O1263" s="22"/>
      <c r="P1263" s="22"/>
    </row>
    <row r="1264" spans="11:16" s="1" customFormat="1" x14ac:dyDescent="0.25">
      <c r="K1264" s="28"/>
      <c r="L1264" s="28"/>
      <c r="N1264" s="22"/>
      <c r="O1264" s="22"/>
      <c r="P1264" s="22"/>
    </row>
    <row r="1265" spans="11:16" s="1" customFormat="1" x14ac:dyDescent="0.25">
      <c r="K1265" s="28"/>
      <c r="L1265" s="28"/>
      <c r="N1265" s="22"/>
      <c r="O1265" s="22"/>
      <c r="P1265" s="22"/>
    </row>
    <row r="1266" spans="11:16" s="1" customFormat="1" x14ac:dyDescent="0.25">
      <c r="K1266" s="28"/>
      <c r="L1266" s="28"/>
      <c r="N1266" s="22"/>
      <c r="O1266" s="22"/>
      <c r="P1266" s="22"/>
    </row>
    <row r="1267" spans="11:16" s="1" customFormat="1" x14ac:dyDescent="0.25">
      <c r="K1267" s="28"/>
      <c r="L1267" s="28"/>
      <c r="N1267" s="22"/>
      <c r="O1267" s="22"/>
      <c r="P1267" s="22"/>
    </row>
    <row r="1268" spans="11:16" s="1" customFormat="1" x14ac:dyDescent="0.25">
      <c r="K1268" s="28"/>
      <c r="L1268" s="28"/>
      <c r="N1268" s="22"/>
      <c r="O1268" s="22"/>
      <c r="P1268" s="22"/>
    </row>
    <row r="1269" spans="11:16" s="1" customFormat="1" x14ac:dyDescent="0.25">
      <c r="K1269" s="28"/>
      <c r="L1269" s="28"/>
      <c r="N1269" s="22"/>
      <c r="O1269" s="22"/>
      <c r="P1269" s="22"/>
    </row>
    <row r="1270" spans="11:16" s="1" customFormat="1" x14ac:dyDescent="0.25">
      <c r="K1270" s="28"/>
      <c r="L1270" s="28"/>
      <c r="N1270" s="22"/>
      <c r="O1270" s="22"/>
      <c r="P1270" s="22"/>
    </row>
    <row r="1271" spans="11:16" s="1" customFormat="1" x14ac:dyDescent="0.25">
      <c r="K1271" s="28"/>
      <c r="L1271" s="28"/>
      <c r="N1271" s="22"/>
      <c r="O1271" s="22"/>
      <c r="P1271" s="22"/>
    </row>
    <row r="1272" spans="11:16" s="1" customFormat="1" x14ac:dyDescent="0.25">
      <c r="K1272" s="28"/>
      <c r="L1272" s="28"/>
      <c r="N1272" s="22"/>
      <c r="O1272" s="22"/>
      <c r="P1272" s="22"/>
    </row>
    <row r="1273" spans="11:16" s="1" customFormat="1" x14ac:dyDescent="0.25">
      <c r="K1273" s="28"/>
      <c r="L1273" s="28"/>
      <c r="N1273" s="22"/>
      <c r="O1273" s="22"/>
      <c r="P1273" s="22"/>
    </row>
    <row r="1274" spans="11:16" s="1" customFormat="1" x14ac:dyDescent="0.25">
      <c r="K1274" s="28"/>
      <c r="L1274" s="28"/>
      <c r="N1274" s="22"/>
      <c r="O1274" s="22"/>
      <c r="P1274" s="22"/>
    </row>
    <row r="1275" spans="11:16" s="1" customFormat="1" x14ac:dyDescent="0.25">
      <c r="K1275" s="28"/>
      <c r="L1275" s="28"/>
      <c r="N1275" s="22"/>
      <c r="O1275" s="22"/>
      <c r="P1275" s="22"/>
    </row>
    <row r="1276" spans="11:16" s="1" customFormat="1" x14ac:dyDescent="0.25">
      <c r="K1276" s="28"/>
      <c r="L1276" s="28"/>
      <c r="N1276" s="22"/>
      <c r="O1276" s="22"/>
      <c r="P1276" s="22"/>
    </row>
    <row r="1277" spans="11:16" s="1" customFormat="1" x14ac:dyDescent="0.25">
      <c r="K1277" s="28"/>
      <c r="L1277" s="28"/>
      <c r="N1277" s="22"/>
      <c r="O1277" s="22"/>
      <c r="P1277" s="22"/>
    </row>
    <row r="1278" spans="11:16" s="1" customFormat="1" x14ac:dyDescent="0.25">
      <c r="K1278" s="28"/>
      <c r="L1278" s="28"/>
      <c r="N1278" s="22"/>
      <c r="O1278" s="22"/>
      <c r="P1278" s="22"/>
    </row>
    <row r="1279" spans="11:16" s="1" customFormat="1" x14ac:dyDescent="0.25">
      <c r="K1279" s="28"/>
      <c r="L1279" s="28"/>
      <c r="N1279" s="22"/>
      <c r="O1279" s="22"/>
      <c r="P1279" s="22"/>
    </row>
    <row r="1280" spans="11:16" s="1" customFormat="1" x14ac:dyDescent="0.25">
      <c r="K1280" s="28"/>
      <c r="L1280" s="28"/>
      <c r="N1280" s="22"/>
      <c r="O1280" s="22"/>
      <c r="P1280" s="22"/>
    </row>
    <row r="1281" spans="11:16" s="1" customFormat="1" x14ac:dyDescent="0.25">
      <c r="K1281" s="28"/>
      <c r="L1281" s="28"/>
      <c r="N1281" s="22"/>
      <c r="O1281" s="22"/>
      <c r="P1281" s="22"/>
    </row>
    <row r="1282" spans="11:16" s="1" customFormat="1" x14ac:dyDescent="0.25">
      <c r="K1282" s="28"/>
      <c r="L1282" s="28"/>
      <c r="N1282" s="22"/>
      <c r="O1282" s="22"/>
      <c r="P1282" s="22"/>
    </row>
    <row r="1283" spans="11:16" s="1" customFormat="1" x14ac:dyDescent="0.25">
      <c r="K1283" s="28"/>
      <c r="L1283" s="28"/>
      <c r="N1283" s="22"/>
      <c r="O1283" s="22"/>
      <c r="P1283" s="22"/>
    </row>
    <row r="1284" spans="11:16" s="1" customFormat="1" x14ac:dyDescent="0.25">
      <c r="K1284" s="28"/>
      <c r="L1284" s="28"/>
      <c r="N1284" s="22"/>
      <c r="O1284" s="22"/>
      <c r="P1284" s="22"/>
    </row>
    <row r="1285" spans="11:16" s="1" customFormat="1" x14ac:dyDescent="0.25">
      <c r="K1285" s="28"/>
      <c r="L1285" s="28"/>
      <c r="N1285" s="22"/>
      <c r="O1285" s="22"/>
      <c r="P1285" s="22"/>
    </row>
    <row r="1286" spans="11:16" s="1" customFormat="1" x14ac:dyDescent="0.25">
      <c r="K1286" s="28"/>
      <c r="L1286" s="28"/>
      <c r="N1286" s="22"/>
      <c r="O1286" s="22"/>
      <c r="P1286" s="22"/>
    </row>
    <row r="1287" spans="11:16" s="1" customFormat="1" x14ac:dyDescent="0.25">
      <c r="K1287" s="28"/>
      <c r="L1287" s="28"/>
      <c r="N1287" s="22"/>
      <c r="O1287" s="22"/>
      <c r="P1287" s="22"/>
    </row>
    <row r="1288" spans="11:16" s="1" customFormat="1" x14ac:dyDescent="0.25">
      <c r="K1288" s="28"/>
      <c r="L1288" s="28"/>
      <c r="N1288" s="22"/>
      <c r="O1288" s="22"/>
      <c r="P1288" s="22"/>
    </row>
    <row r="1289" spans="11:16" s="1" customFormat="1" x14ac:dyDescent="0.25">
      <c r="K1289" s="28"/>
      <c r="L1289" s="28"/>
      <c r="N1289" s="22"/>
      <c r="O1289" s="22"/>
      <c r="P1289" s="22"/>
    </row>
    <row r="1290" spans="11:16" s="1" customFormat="1" x14ac:dyDescent="0.25">
      <c r="K1290" s="28"/>
      <c r="L1290" s="28"/>
      <c r="N1290" s="22"/>
      <c r="O1290" s="22"/>
      <c r="P1290" s="22"/>
    </row>
    <row r="1291" spans="11:16" s="1" customFormat="1" x14ac:dyDescent="0.25">
      <c r="K1291" s="28"/>
      <c r="L1291" s="28"/>
      <c r="N1291" s="22"/>
      <c r="O1291" s="22"/>
      <c r="P1291" s="22"/>
    </row>
    <row r="1292" spans="11:16" s="1" customFormat="1" x14ac:dyDescent="0.25">
      <c r="K1292" s="28"/>
      <c r="L1292" s="28"/>
      <c r="N1292" s="22"/>
      <c r="O1292" s="22"/>
      <c r="P1292" s="22"/>
    </row>
    <row r="1293" spans="11:16" s="1" customFormat="1" x14ac:dyDescent="0.25">
      <c r="K1293" s="28"/>
      <c r="L1293" s="28"/>
      <c r="N1293" s="22"/>
      <c r="O1293" s="22"/>
      <c r="P1293" s="22"/>
    </row>
    <row r="1294" spans="11:16" s="1" customFormat="1" x14ac:dyDescent="0.25">
      <c r="K1294" s="28"/>
      <c r="L1294" s="28"/>
      <c r="N1294" s="22"/>
      <c r="O1294" s="22"/>
      <c r="P1294" s="22"/>
    </row>
    <row r="1295" spans="11:16" s="1" customFormat="1" x14ac:dyDescent="0.25">
      <c r="K1295" s="28"/>
      <c r="L1295" s="28"/>
      <c r="N1295" s="22"/>
      <c r="O1295" s="22"/>
      <c r="P1295" s="22"/>
    </row>
    <row r="1296" spans="11:16" s="1" customFormat="1" x14ac:dyDescent="0.25">
      <c r="K1296" s="28"/>
      <c r="L1296" s="28"/>
      <c r="N1296" s="22"/>
      <c r="O1296" s="22"/>
      <c r="P1296" s="22"/>
    </row>
    <row r="1297" spans="11:16" s="1" customFormat="1" x14ac:dyDescent="0.25">
      <c r="K1297" s="28"/>
      <c r="L1297" s="28"/>
      <c r="N1297" s="22"/>
      <c r="O1297" s="22"/>
      <c r="P1297" s="22"/>
    </row>
    <row r="1298" spans="11:16" s="1" customFormat="1" x14ac:dyDescent="0.25">
      <c r="K1298" s="28"/>
      <c r="L1298" s="28"/>
      <c r="N1298" s="22"/>
      <c r="O1298" s="22"/>
      <c r="P1298" s="22"/>
    </row>
    <row r="1299" spans="11:16" s="1" customFormat="1" x14ac:dyDescent="0.25">
      <c r="K1299" s="28"/>
      <c r="L1299" s="28"/>
      <c r="N1299" s="22"/>
      <c r="O1299" s="22"/>
      <c r="P1299" s="22"/>
    </row>
    <row r="1300" spans="11:16" s="1" customFormat="1" x14ac:dyDescent="0.25">
      <c r="K1300" s="28"/>
      <c r="L1300" s="28"/>
      <c r="N1300" s="22"/>
      <c r="O1300" s="22"/>
      <c r="P1300" s="22"/>
    </row>
    <row r="1301" spans="11:16" s="1" customFormat="1" x14ac:dyDescent="0.25">
      <c r="K1301" s="28"/>
      <c r="L1301" s="28"/>
      <c r="N1301" s="22"/>
      <c r="O1301" s="22"/>
      <c r="P1301" s="22"/>
    </row>
    <row r="1302" spans="11:16" s="1" customFormat="1" x14ac:dyDescent="0.25">
      <c r="K1302" s="28"/>
      <c r="L1302" s="28"/>
      <c r="N1302" s="22"/>
      <c r="O1302" s="22"/>
      <c r="P1302" s="22"/>
    </row>
    <row r="1303" spans="11:16" s="1" customFormat="1" x14ac:dyDescent="0.25">
      <c r="K1303" s="28"/>
      <c r="L1303" s="28"/>
      <c r="N1303" s="22"/>
      <c r="O1303" s="22"/>
      <c r="P1303" s="22"/>
    </row>
    <row r="1304" spans="11:16" s="1" customFormat="1" x14ac:dyDescent="0.25">
      <c r="K1304" s="28"/>
      <c r="L1304" s="28"/>
      <c r="N1304" s="22"/>
      <c r="O1304" s="22"/>
      <c r="P1304" s="22"/>
    </row>
    <row r="1305" spans="11:16" s="1" customFormat="1" x14ac:dyDescent="0.25">
      <c r="K1305" s="28"/>
      <c r="L1305" s="28"/>
      <c r="N1305" s="22"/>
      <c r="O1305" s="22"/>
      <c r="P1305" s="22"/>
    </row>
    <row r="1306" spans="11:16" s="1" customFormat="1" x14ac:dyDescent="0.25">
      <c r="K1306" s="28"/>
      <c r="L1306" s="28"/>
      <c r="N1306" s="22"/>
      <c r="O1306" s="22"/>
      <c r="P1306" s="22"/>
    </row>
    <row r="1307" spans="11:16" s="1" customFormat="1" x14ac:dyDescent="0.25">
      <c r="K1307" s="28"/>
      <c r="L1307" s="28"/>
      <c r="N1307" s="22"/>
      <c r="O1307" s="22"/>
      <c r="P1307" s="22"/>
    </row>
    <row r="1308" spans="11:16" s="1" customFormat="1" x14ac:dyDescent="0.25">
      <c r="K1308" s="28"/>
      <c r="L1308" s="28"/>
      <c r="N1308" s="22"/>
      <c r="O1308" s="22"/>
      <c r="P1308" s="22"/>
    </row>
    <row r="1309" spans="11:16" s="1" customFormat="1" x14ac:dyDescent="0.25">
      <c r="K1309" s="28"/>
      <c r="L1309" s="28"/>
      <c r="N1309" s="22"/>
      <c r="O1309" s="22"/>
      <c r="P1309" s="22"/>
    </row>
    <row r="1310" spans="11:16" s="1" customFormat="1" x14ac:dyDescent="0.25">
      <c r="K1310" s="28"/>
      <c r="L1310" s="28"/>
      <c r="N1310" s="22"/>
      <c r="O1310" s="22"/>
      <c r="P1310" s="22"/>
    </row>
    <row r="1311" spans="11:16" s="1" customFormat="1" x14ac:dyDescent="0.25">
      <c r="K1311" s="28"/>
      <c r="L1311" s="28"/>
      <c r="N1311" s="22"/>
      <c r="O1311" s="22"/>
      <c r="P1311" s="22"/>
    </row>
    <row r="1312" spans="11:16" s="1" customFormat="1" x14ac:dyDescent="0.25">
      <c r="K1312" s="28"/>
      <c r="L1312" s="28"/>
      <c r="N1312" s="22"/>
      <c r="O1312" s="22"/>
      <c r="P1312" s="22"/>
    </row>
    <row r="1313" spans="11:16" s="1" customFormat="1" x14ac:dyDescent="0.25">
      <c r="K1313" s="28"/>
      <c r="L1313" s="28"/>
      <c r="N1313" s="22"/>
      <c r="O1313" s="22"/>
      <c r="P1313" s="22"/>
    </row>
    <row r="1314" spans="11:16" s="1" customFormat="1" x14ac:dyDescent="0.25">
      <c r="K1314" s="28"/>
      <c r="L1314" s="28"/>
      <c r="N1314" s="22"/>
      <c r="O1314" s="22"/>
      <c r="P1314" s="22"/>
    </row>
    <row r="1315" spans="11:16" s="1" customFormat="1" x14ac:dyDescent="0.25">
      <c r="K1315" s="28"/>
      <c r="L1315" s="28"/>
      <c r="N1315" s="22"/>
      <c r="O1315" s="22"/>
      <c r="P1315" s="22"/>
    </row>
    <row r="1316" spans="11:16" s="1" customFormat="1" x14ac:dyDescent="0.25">
      <c r="K1316" s="28"/>
      <c r="L1316" s="28"/>
      <c r="N1316" s="22"/>
      <c r="O1316" s="22"/>
      <c r="P1316" s="22"/>
    </row>
    <row r="1317" spans="11:16" s="1" customFormat="1" x14ac:dyDescent="0.25">
      <c r="K1317" s="28"/>
      <c r="L1317" s="28"/>
      <c r="N1317" s="22"/>
      <c r="O1317" s="22"/>
      <c r="P1317" s="22"/>
    </row>
    <row r="1318" spans="11:16" s="1" customFormat="1" x14ac:dyDescent="0.25">
      <c r="K1318" s="28"/>
      <c r="L1318" s="28"/>
      <c r="N1318" s="22"/>
      <c r="O1318" s="22"/>
      <c r="P1318" s="22"/>
    </row>
    <row r="1319" spans="11:16" s="1" customFormat="1" x14ac:dyDescent="0.25">
      <c r="K1319" s="28"/>
      <c r="L1319" s="28"/>
      <c r="N1319" s="22"/>
      <c r="O1319" s="22"/>
      <c r="P1319" s="22"/>
    </row>
    <row r="1320" spans="11:16" s="1" customFormat="1" x14ac:dyDescent="0.25">
      <c r="K1320" s="28"/>
      <c r="L1320" s="28"/>
      <c r="N1320" s="22"/>
      <c r="O1320" s="22"/>
      <c r="P1320" s="22"/>
    </row>
    <row r="1321" spans="11:16" s="1" customFormat="1" x14ac:dyDescent="0.25">
      <c r="K1321" s="28"/>
      <c r="L1321" s="28"/>
      <c r="N1321" s="22"/>
      <c r="O1321" s="22"/>
      <c r="P1321" s="22"/>
    </row>
    <row r="1322" spans="11:16" s="1" customFormat="1" x14ac:dyDescent="0.25">
      <c r="K1322" s="28"/>
      <c r="L1322" s="28"/>
      <c r="N1322" s="22"/>
      <c r="O1322" s="22"/>
      <c r="P1322" s="22"/>
    </row>
    <row r="1323" spans="11:16" s="1" customFormat="1" x14ac:dyDescent="0.25">
      <c r="K1323" s="28"/>
      <c r="L1323" s="28"/>
      <c r="N1323" s="22"/>
      <c r="O1323" s="22"/>
      <c r="P1323" s="22"/>
    </row>
    <row r="1324" spans="11:16" s="1" customFormat="1" x14ac:dyDescent="0.25">
      <c r="K1324" s="28"/>
      <c r="L1324" s="28"/>
      <c r="N1324" s="22"/>
      <c r="O1324" s="22"/>
      <c r="P1324" s="22"/>
    </row>
    <row r="1325" spans="11:16" s="1" customFormat="1" x14ac:dyDescent="0.25">
      <c r="K1325" s="28"/>
      <c r="L1325" s="28"/>
      <c r="N1325" s="22"/>
      <c r="O1325" s="22"/>
      <c r="P1325" s="22"/>
    </row>
    <row r="1326" spans="11:16" s="1" customFormat="1" x14ac:dyDescent="0.25">
      <c r="K1326" s="28"/>
      <c r="L1326" s="28"/>
      <c r="N1326" s="22"/>
      <c r="O1326" s="22"/>
      <c r="P1326" s="22"/>
    </row>
    <row r="1327" spans="11:16" s="1" customFormat="1" x14ac:dyDescent="0.25">
      <c r="K1327" s="28"/>
      <c r="L1327" s="28"/>
      <c r="N1327" s="22"/>
      <c r="O1327" s="22"/>
      <c r="P1327" s="22"/>
    </row>
    <row r="1328" spans="11:16" s="1" customFormat="1" x14ac:dyDescent="0.25">
      <c r="K1328" s="28"/>
      <c r="L1328" s="28"/>
      <c r="N1328" s="22"/>
      <c r="O1328" s="22"/>
      <c r="P1328" s="22"/>
    </row>
    <row r="1329" spans="11:16" s="1" customFormat="1" x14ac:dyDescent="0.25">
      <c r="K1329" s="28"/>
      <c r="L1329" s="28"/>
      <c r="N1329" s="22"/>
      <c r="O1329" s="22"/>
      <c r="P1329" s="22"/>
    </row>
    <row r="1330" spans="11:16" s="1" customFormat="1" x14ac:dyDescent="0.25">
      <c r="K1330" s="28"/>
      <c r="L1330" s="28"/>
      <c r="N1330" s="22"/>
      <c r="O1330" s="22"/>
      <c r="P1330" s="22"/>
    </row>
    <row r="1331" spans="11:16" s="1" customFormat="1" x14ac:dyDescent="0.25">
      <c r="K1331" s="28"/>
      <c r="L1331" s="28"/>
      <c r="N1331" s="22"/>
      <c r="O1331" s="22"/>
      <c r="P1331" s="22"/>
    </row>
    <row r="1332" spans="11:16" s="1" customFormat="1" x14ac:dyDescent="0.25">
      <c r="K1332" s="28"/>
      <c r="L1332" s="28"/>
      <c r="N1332" s="22"/>
      <c r="O1332" s="22"/>
      <c r="P1332" s="22"/>
    </row>
    <row r="1333" spans="11:16" s="1" customFormat="1" x14ac:dyDescent="0.25">
      <c r="K1333" s="28"/>
      <c r="L1333" s="28"/>
      <c r="N1333" s="22"/>
      <c r="O1333" s="22"/>
      <c r="P1333" s="22"/>
    </row>
    <row r="1334" spans="11:16" s="1" customFormat="1" x14ac:dyDescent="0.25">
      <c r="K1334" s="28"/>
      <c r="L1334" s="28"/>
      <c r="N1334" s="22"/>
      <c r="O1334" s="22"/>
      <c r="P1334" s="22"/>
    </row>
    <row r="1335" spans="11:16" s="1" customFormat="1" x14ac:dyDescent="0.25">
      <c r="K1335" s="28"/>
      <c r="L1335" s="28"/>
      <c r="N1335" s="22"/>
      <c r="O1335" s="22"/>
      <c r="P1335" s="22"/>
    </row>
    <row r="1336" spans="11:16" s="1" customFormat="1" x14ac:dyDescent="0.25">
      <c r="K1336" s="28"/>
      <c r="L1336" s="28"/>
      <c r="N1336" s="22"/>
      <c r="O1336" s="22"/>
      <c r="P1336" s="22"/>
    </row>
    <row r="1337" spans="11:16" s="1" customFormat="1" x14ac:dyDescent="0.25">
      <c r="K1337" s="28"/>
      <c r="L1337" s="28"/>
      <c r="N1337" s="22"/>
      <c r="O1337" s="22"/>
      <c r="P1337" s="22"/>
    </row>
    <row r="1338" spans="11:16" s="1" customFormat="1" x14ac:dyDescent="0.25">
      <c r="K1338" s="28"/>
      <c r="L1338" s="28"/>
      <c r="N1338" s="22"/>
      <c r="O1338" s="22"/>
      <c r="P1338" s="22"/>
    </row>
    <row r="1339" spans="11:16" s="1" customFormat="1" x14ac:dyDescent="0.25">
      <c r="K1339" s="28"/>
      <c r="L1339" s="28"/>
      <c r="N1339" s="22"/>
      <c r="O1339" s="22"/>
      <c r="P1339" s="22"/>
    </row>
    <row r="1340" spans="11:16" s="1" customFormat="1" x14ac:dyDescent="0.25">
      <c r="K1340" s="28"/>
      <c r="L1340" s="28"/>
      <c r="N1340" s="22"/>
      <c r="O1340" s="22"/>
      <c r="P1340" s="22"/>
    </row>
    <row r="1341" spans="11:16" s="1" customFormat="1" x14ac:dyDescent="0.25">
      <c r="K1341" s="28"/>
      <c r="L1341" s="28"/>
      <c r="N1341" s="22"/>
      <c r="O1341" s="22"/>
      <c r="P1341" s="22"/>
    </row>
    <row r="1342" spans="11:16" s="1" customFormat="1" x14ac:dyDescent="0.25">
      <c r="K1342" s="28"/>
      <c r="L1342" s="28"/>
      <c r="N1342" s="22"/>
      <c r="O1342" s="22"/>
      <c r="P1342" s="22"/>
    </row>
    <row r="1343" spans="11:16" s="1" customFormat="1" x14ac:dyDescent="0.25">
      <c r="K1343" s="28"/>
      <c r="L1343" s="28"/>
      <c r="N1343" s="22"/>
      <c r="O1343" s="22"/>
      <c r="P1343" s="22"/>
    </row>
    <row r="1344" spans="11:16" s="1" customFormat="1" x14ac:dyDescent="0.25">
      <c r="K1344" s="28"/>
      <c r="L1344" s="28"/>
      <c r="N1344" s="22"/>
      <c r="O1344" s="22"/>
      <c r="P1344" s="22"/>
    </row>
    <row r="1345" spans="11:16" s="1" customFormat="1" x14ac:dyDescent="0.25">
      <c r="K1345" s="28"/>
      <c r="L1345" s="28"/>
      <c r="N1345" s="22"/>
      <c r="O1345" s="22"/>
      <c r="P1345" s="22"/>
    </row>
    <row r="1346" spans="11:16" s="1" customFormat="1" x14ac:dyDescent="0.25">
      <c r="K1346" s="28"/>
      <c r="L1346" s="28"/>
      <c r="N1346" s="22"/>
      <c r="O1346" s="22"/>
      <c r="P1346" s="22"/>
    </row>
    <row r="1347" spans="11:16" s="1" customFormat="1" x14ac:dyDescent="0.25">
      <c r="K1347" s="28"/>
      <c r="L1347" s="28"/>
      <c r="N1347" s="22"/>
      <c r="O1347" s="22"/>
      <c r="P1347" s="22"/>
    </row>
    <row r="1348" spans="11:16" s="1" customFormat="1" x14ac:dyDescent="0.25">
      <c r="K1348" s="28"/>
      <c r="L1348" s="28"/>
      <c r="N1348" s="22"/>
      <c r="O1348" s="22"/>
      <c r="P1348" s="22"/>
    </row>
    <row r="1349" spans="11:16" s="1" customFormat="1" x14ac:dyDescent="0.25">
      <c r="K1349" s="28"/>
      <c r="L1349" s="28"/>
      <c r="N1349" s="22"/>
      <c r="O1349" s="22"/>
      <c r="P1349" s="22"/>
    </row>
    <row r="1350" spans="11:16" s="1" customFormat="1" x14ac:dyDescent="0.25">
      <c r="K1350" s="28"/>
      <c r="L1350" s="28"/>
      <c r="N1350" s="22"/>
      <c r="O1350" s="22"/>
      <c r="P1350" s="22"/>
    </row>
    <row r="1351" spans="11:16" s="1" customFormat="1" x14ac:dyDescent="0.25">
      <c r="K1351" s="28"/>
      <c r="L1351" s="28"/>
      <c r="N1351" s="22"/>
      <c r="O1351" s="22"/>
      <c r="P1351" s="22"/>
    </row>
    <row r="1352" spans="11:16" s="1" customFormat="1" x14ac:dyDescent="0.25">
      <c r="K1352" s="28"/>
      <c r="L1352" s="28"/>
      <c r="N1352" s="22"/>
      <c r="O1352" s="22"/>
      <c r="P1352" s="22"/>
    </row>
    <row r="1353" spans="11:16" s="1" customFormat="1" x14ac:dyDescent="0.25">
      <c r="K1353" s="28"/>
      <c r="L1353" s="28"/>
      <c r="N1353" s="22"/>
      <c r="O1353" s="22"/>
      <c r="P1353" s="22"/>
    </row>
    <row r="1354" spans="11:16" s="1" customFormat="1" x14ac:dyDescent="0.25">
      <c r="K1354" s="28"/>
      <c r="L1354" s="28"/>
      <c r="N1354" s="22"/>
      <c r="O1354" s="22"/>
      <c r="P1354" s="22"/>
    </row>
    <row r="1355" spans="11:16" s="1" customFormat="1" x14ac:dyDescent="0.25">
      <c r="K1355" s="28"/>
      <c r="L1355" s="28"/>
      <c r="N1355" s="22"/>
      <c r="O1355" s="22"/>
      <c r="P1355" s="22"/>
    </row>
    <row r="1356" spans="11:16" s="1" customFormat="1" x14ac:dyDescent="0.25">
      <c r="K1356" s="28"/>
      <c r="L1356" s="28"/>
      <c r="N1356" s="22"/>
      <c r="O1356" s="22"/>
      <c r="P1356" s="22"/>
    </row>
    <row r="1357" spans="11:16" s="1" customFormat="1" x14ac:dyDescent="0.25">
      <c r="K1357" s="28"/>
      <c r="L1357" s="28"/>
      <c r="N1357" s="22"/>
      <c r="O1357" s="22"/>
      <c r="P1357" s="22"/>
    </row>
    <row r="1358" spans="11:16" s="1" customFormat="1" x14ac:dyDescent="0.25">
      <c r="K1358" s="28"/>
      <c r="L1358" s="28"/>
      <c r="N1358" s="22"/>
      <c r="O1358" s="22"/>
      <c r="P1358" s="22"/>
    </row>
    <row r="1359" spans="11:16" s="1" customFormat="1" x14ac:dyDescent="0.25">
      <c r="K1359" s="28"/>
      <c r="L1359" s="28"/>
      <c r="N1359" s="22"/>
      <c r="O1359" s="22"/>
      <c r="P1359" s="22"/>
    </row>
    <row r="1360" spans="11:16" s="1" customFormat="1" x14ac:dyDescent="0.25">
      <c r="K1360" s="28"/>
      <c r="L1360" s="28"/>
      <c r="N1360" s="22"/>
      <c r="O1360" s="22"/>
      <c r="P1360" s="22"/>
    </row>
    <row r="1361" spans="11:16" s="1" customFormat="1" x14ac:dyDescent="0.25">
      <c r="K1361" s="28"/>
      <c r="L1361" s="28"/>
      <c r="N1361" s="22"/>
      <c r="O1361" s="22"/>
      <c r="P1361" s="22"/>
    </row>
    <row r="1362" spans="11:16" s="1" customFormat="1" x14ac:dyDescent="0.25">
      <c r="K1362" s="28"/>
      <c r="L1362" s="28"/>
      <c r="N1362" s="22"/>
      <c r="O1362" s="22"/>
      <c r="P1362" s="22"/>
    </row>
    <row r="1363" spans="11:16" s="1" customFormat="1" x14ac:dyDescent="0.25">
      <c r="K1363" s="28"/>
      <c r="L1363" s="28"/>
      <c r="N1363" s="22"/>
      <c r="O1363" s="22"/>
      <c r="P1363" s="22"/>
    </row>
    <row r="1364" spans="11:16" s="1" customFormat="1" x14ac:dyDescent="0.25">
      <c r="K1364" s="28"/>
      <c r="L1364" s="28"/>
      <c r="N1364" s="22"/>
      <c r="O1364" s="22"/>
      <c r="P1364" s="22"/>
    </row>
    <row r="1365" spans="11:16" s="1" customFormat="1" x14ac:dyDescent="0.25">
      <c r="K1365" s="28"/>
      <c r="L1365" s="28"/>
      <c r="N1365" s="22"/>
      <c r="O1365" s="22"/>
      <c r="P1365" s="22"/>
    </row>
    <row r="1366" spans="11:16" s="1" customFormat="1" x14ac:dyDescent="0.25">
      <c r="K1366" s="28"/>
      <c r="L1366" s="28"/>
      <c r="N1366" s="22"/>
      <c r="O1366" s="22"/>
      <c r="P1366" s="22"/>
    </row>
    <row r="1367" spans="11:16" s="1" customFormat="1" x14ac:dyDescent="0.25">
      <c r="K1367" s="28"/>
      <c r="L1367" s="28"/>
      <c r="N1367" s="22"/>
      <c r="O1367" s="22"/>
      <c r="P1367" s="22"/>
    </row>
    <row r="1368" spans="11:16" s="1" customFormat="1" x14ac:dyDescent="0.25">
      <c r="K1368" s="28"/>
      <c r="L1368" s="28"/>
      <c r="N1368" s="22"/>
      <c r="O1368" s="22"/>
      <c r="P1368" s="22"/>
    </row>
    <row r="1369" spans="11:16" s="1" customFormat="1" x14ac:dyDescent="0.25">
      <c r="K1369" s="28"/>
      <c r="L1369" s="28"/>
      <c r="N1369" s="22"/>
      <c r="O1369" s="22"/>
      <c r="P1369" s="22"/>
    </row>
    <row r="1370" spans="11:16" s="1" customFormat="1" x14ac:dyDescent="0.25">
      <c r="K1370" s="28"/>
      <c r="L1370" s="28"/>
      <c r="N1370" s="22"/>
      <c r="O1370" s="22"/>
      <c r="P1370" s="22"/>
    </row>
    <row r="1371" spans="11:16" s="1" customFormat="1" x14ac:dyDescent="0.25">
      <c r="K1371" s="28"/>
      <c r="L1371" s="28"/>
      <c r="N1371" s="22"/>
      <c r="O1371" s="22"/>
      <c r="P1371" s="22"/>
    </row>
    <row r="1372" spans="11:16" s="1" customFormat="1" x14ac:dyDescent="0.25">
      <c r="K1372" s="28"/>
      <c r="L1372" s="28"/>
      <c r="N1372" s="22"/>
      <c r="O1372" s="22"/>
      <c r="P1372" s="22"/>
    </row>
    <row r="1373" spans="11:16" s="1" customFormat="1" x14ac:dyDescent="0.25">
      <c r="K1373" s="28"/>
      <c r="L1373" s="28"/>
      <c r="N1373" s="22"/>
      <c r="O1373" s="22"/>
      <c r="P1373" s="22"/>
    </row>
    <row r="1374" spans="11:16" s="1" customFormat="1" x14ac:dyDescent="0.25">
      <c r="K1374" s="28"/>
      <c r="L1374" s="28"/>
      <c r="N1374" s="22"/>
      <c r="O1374" s="22"/>
      <c r="P1374" s="22"/>
    </row>
    <row r="1375" spans="11:16" s="1" customFormat="1" x14ac:dyDescent="0.25">
      <c r="K1375" s="28"/>
      <c r="L1375" s="28"/>
      <c r="N1375" s="22"/>
      <c r="O1375" s="22"/>
      <c r="P1375" s="22"/>
    </row>
    <row r="1376" spans="11:16" s="1" customFormat="1" x14ac:dyDescent="0.25">
      <c r="K1376" s="28"/>
      <c r="L1376" s="28"/>
      <c r="N1376" s="22"/>
      <c r="O1376" s="22"/>
      <c r="P1376" s="22"/>
    </row>
    <row r="1377" spans="11:16" s="1" customFormat="1" x14ac:dyDescent="0.25">
      <c r="K1377" s="28"/>
      <c r="L1377" s="28"/>
      <c r="N1377" s="22"/>
      <c r="O1377" s="22"/>
      <c r="P1377" s="22"/>
    </row>
    <row r="1378" spans="11:16" s="1" customFormat="1" x14ac:dyDescent="0.25">
      <c r="K1378" s="28"/>
      <c r="L1378" s="28"/>
      <c r="N1378" s="22"/>
      <c r="O1378" s="22"/>
      <c r="P1378" s="22"/>
    </row>
    <row r="1379" spans="11:16" s="1" customFormat="1" x14ac:dyDescent="0.25">
      <c r="K1379" s="28"/>
      <c r="L1379" s="28"/>
      <c r="N1379" s="22"/>
      <c r="O1379" s="22"/>
      <c r="P1379" s="22"/>
    </row>
    <row r="1380" spans="11:16" s="1" customFormat="1" x14ac:dyDescent="0.25">
      <c r="K1380" s="28"/>
      <c r="L1380" s="28"/>
      <c r="N1380" s="22"/>
      <c r="O1380" s="22"/>
      <c r="P1380" s="22"/>
    </row>
    <row r="1381" spans="11:16" s="1" customFormat="1" x14ac:dyDescent="0.25">
      <c r="K1381" s="28"/>
      <c r="L1381" s="28"/>
      <c r="N1381" s="22"/>
      <c r="O1381" s="22"/>
      <c r="P1381" s="22"/>
    </row>
    <row r="1382" spans="11:16" s="1" customFormat="1" x14ac:dyDescent="0.25">
      <c r="K1382" s="28"/>
      <c r="L1382" s="28"/>
      <c r="N1382" s="22"/>
      <c r="O1382" s="22"/>
      <c r="P1382" s="22"/>
    </row>
    <row r="1383" spans="11:16" s="1" customFormat="1" x14ac:dyDescent="0.25">
      <c r="K1383" s="28"/>
      <c r="L1383" s="28"/>
      <c r="N1383" s="22"/>
      <c r="O1383" s="22"/>
      <c r="P1383" s="22"/>
    </row>
    <row r="1384" spans="11:16" s="1" customFormat="1" x14ac:dyDescent="0.25">
      <c r="K1384" s="28"/>
      <c r="L1384" s="28"/>
      <c r="N1384" s="22"/>
      <c r="O1384" s="22"/>
      <c r="P1384" s="22"/>
    </row>
    <row r="1385" spans="11:16" s="1" customFormat="1" x14ac:dyDescent="0.25">
      <c r="K1385" s="28"/>
      <c r="L1385" s="28"/>
      <c r="N1385" s="22"/>
      <c r="O1385" s="22"/>
      <c r="P1385" s="22"/>
    </row>
    <row r="1386" spans="11:16" s="1" customFormat="1" x14ac:dyDescent="0.25">
      <c r="K1386" s="28"/>
      <c r="L1386" s="28"/>
      <c r="N1386" s="22"/>
      <c r="O1386" s="22"/>
      <c r="P1386" s="22"/>
    </row>
    <row r="1387" spans="11:16" s="1" customFormat="1" x14ac:dyDescent="0.25">
      <c r="K1387" s="28"/>
      <c r="L1387" s="28"/>
      <c r="N1387" s="22"/>
      <c r="O1387" s="22"/>
      <c r="P1387" s="22"/>
    </row>
    <row r="1388" spans="11:16" s="1" customFormat="1" x14ac:dyDescent="0.25">
      <c r="K1388" s="28"/>
      <c r="L1388" s="28"/>
      <c r="N1388" s="22"/>
      <c r="O1388" s="22"/>
      <c r="P1388" s="22"/>
    </row>
    <row r="1389" spans="11:16" s="1" customFormat="1" x14ac:dyDescent="0.25">
      <c r="K1389" s="28"/>
      <c r="L1389" s="28"/>
      <c r="N1389" s="22"/>
      <c r="O1389" s="22"/>
      <c r="P1389" s="22"/>
    </row>
    <row r="1390" spans="11:16" s="1" customFormat="1" x14ac:dyDescent="0.25">
      <c r="K1390" s="28"/>
      <c r="L1390" s="28"/>
      <c r="N1390" s="22"/>
      <c r="O1390" s="22"/>
      <c r="P1390" s="22"/>
    </row>
    <row r="1391" spans="11:16" s="1" customFormat="1" x14ac:dyDescent="0.25">
      <c r="K1391" s="28"/>
      <c r="L1391" s="28"/>
      <c r="N1391" s="22"/>
      <c r="O1391" s="22"/>
      <c r="P1391" s="22"/>
    </row>
    <row r="1392" spans="11:16" s="1" customFormat="1" x14ac:dyDescent="0.25">
      <c r="K1392" s="28"/>
      <c r="L1392" s="28"/>
      <c r="N1392" s="22"/>
      <c r="O1392" s="22"/>
      <c r="P1392" s="22"/>
    </row>
    <row r="1393" spans="11:16" s="1" customFormat="1" x14ac:dyDescent="0.25">
      <c r="K1393" s="28"/>
      <c r="L1393" s="28"/>
      <c r="N1393" s="22"/>
      <c r="O1393" s="22"/>
      <c r="P1393" s="22"/>
    </row>
    <row r="1394" spans="11:16" s="1" customFormat="1" x14ac:dyDescent="0.25">
      <c r="K1394" s="28"/>
      <c r="L1394" s="28"/>
      <c r="N1394" s="22"/>
      <c r="O1394" s="22"/>
      <c r="P1394" s="22"/>
    </row>
    <row r="1395" spans="11:16" s="1" customFormat="1" x14ac:dyDescent="0.25">
      <c r="K1395" s="28"/>
      <c r="L1395" s="28"/>
      <c r="N1395" s="22"/>
      <c r="O1395" s="22"/>
      <c r="P1395" s="22"/>
    </row>
    <row r="1396" spans="11:16" s="1" customFormat="1" x14ac:dyDescent="0.25">
      <c r="K1396" s="28"/>
      <c r="L1396" s="28"/>
      <c r="N1396" s="22"/>
      <c r="O1396" s="22"/>
      <c r="P1396" s="22"/>
    </row>
    <row r="1397" spans="11:16" s="1" customFormat="1" x14ac:dyDescent="0.25">
      <c r="K1397" s="28"/>
      <c r="L1397" s="28"/>
      <c r="N1397" s="22"/>
      <c r="O1397" s="22"/>
      <c r="P1397" s="22"/>
    </row>
    <row r="1398" spans="11:16" s="1" customFormat="1" x14ac:dyDescent="0.25">
      <c r="K1398" s="28"/>
      <c r="L1398" s="28"/>
      <c r="N1398" s="22"/>
      <c r="O1398" s="22"/>
      <c r="P1398" s="22"/>
    </row>
    <row r="1399" spans="11:16" s="1" customFormat="1" x14ac:dyDescent="0.25">
      <c r="K1399" s="28"/>
      <c r="L1399" s="28"/>
      <c r="N1399" s="22"/>
      <c r="O1399" s="22"/>
      <c r="P1399" s="22"/>
    </row>
    <row r="1400" spans="11:16" s="1" customFormat="1" x14ac:dyDescent="0.25">
      <c r="K1400" s="28"/>
      <c r="L1400" s="28"/>
      <c r="N1400" s="22"/>
      <c r="O1400" s="22"/>
      <c r="P1400" s="22"/>
    </row>
    <row r="1401" spans="11:16" s="1" customFormat="1" x14ac:dyDescent="0.25">
      <c r="K1401" s="28"/>
      <c r="L1401" s="28"/>
      <c r="N1401" s="22"/>
      <c r="O1401" s="22"/>
      <c r="P1401" s="22"/>
    </row>
    <row r="1402" spans="11:16" s="1" customFormat="1" x14ac:dyDescent="0.25">
      <c r="K1402" s="28"/>
      <c r="L1402" s="28"/>
      <c r="N1402" s="22"/>
      <c r="O1402" s="22"/>
      <c r="P1402" s="22"/>
    </row>
    <row r="1403" spans="11:16" s="1" customFormat="1" x14ac:dyDescent="0.25">
      <c r="K1403" s="28"/>
      <c r="L1403" s="28"/>
      <c r="N1403" s="22"/>
      <c r="O1403" s="22"/>
      <c r="P1403" s="22"/>
    </row>
    <row r="1404" spans="11:16" s="1" customFormat="1" x14ac:dyDescent="0.25">
      <c r="K1404" s="28"/>
      <c r="L1404" s="28"/>
      <c r="N1404" s="22"/>
      <c r="O1404" s="22"/>
      <c r="P1404" s="22"/>
    </row>
    <row r="1405" spans="11:16" s="1" customFormat="1" x14ac:dyDescent="0.25">
      <c r="K1405" s="28"/>
      <c r="L1405" s="28"/>
      <c r="N1405" s="22"/>
      <c r="O1405" s="22"/>
      <c r="P1405" s="22"/>
    </row>
    <row r="1406" spans="11:16" s="1" customFormat="1" x14ac:dyDescent="0.25">
      <c r="K1406" s="28"/>
      <c r="L1406" s="28"/>
      <c r="N1406" s="22"/>
      <c r="O1406" s="22"/>
      <c r="P1406" s="22"/>
    </row>
    <row r="1407" spans="11:16" s="1" customFormat="1" x14ac:dyDescent="0.25">
      <c r="K1407" s="28"/>
      <c r="L1407" s="28"/>
      <c r="N1407" s="22"/>
      <c r="O1407" s="22"/>
      <c r="P1407" s="22"/>
    </row>
    <row r="1408" spans="11:16" s="1" customFormat="1" x14ac:dyDescent="0.25">
      <c r="K1408" s="28"/>
      <c r="L1408" s="28"/>
      <c r="N1408" s="22"/>
      <c r="O1408" s="22"/>
      <c r="P1408" s="22"/>
    </row>
    <row r="1409" spans="11:16" s="1" customFormat="1" x14ac:dyDescent="0.25">
      <c r="K1409" s="28"/>
      <c r="L1409" s="28"/>
      <c r="N1409" s="22"/>
      <c r="O1409" s="22"/>
      <c r="P1409" s="22"/>
    </row>
    <row r="1410" spans="11:16" s="1" customFormat="1" x14ac:dyDescent="0.25">
      <c r="K1410" s="28"/>
      <c r="L1410" s="28"/>
      <c r="N1410" s="22"/>
      <c r="O1410" s="22"/>
      <c r="P1410" s="22"/>
    </row>
    <row r="1411" spans="11:16" s="1" customFormat="1" x14ac:dyDescent="0.25">
      <c r="K1411" s="28"/>
      <c r="L1411" s="28"/>
      <c r="N1411" s="22"/>
      <c r="O1411" s="22"/>
      <c r="P1411" s="22"/>
    </row>
    <row r="1412" spans="11:16" s="1" customFormat="1" x14ac:dyDescent="0.25">
      <c r="K1412" s="28"/>
      <c r="L1412" s="28"/>
      <c r="N1412" s="22"/>
      <c r="O1412" s="22"/>
      <c r="P1412" s="22"/>
    </row>
    <row r="1413" spans="11:16" s="1" customFormat="1" x14ac:dyDescent="0.25">
      <c r="K1413" s="28"/>
      <c r="L1413" s="28"/>
      <c r="N1413" s="22"/>
      <c r="O1413" s="22"/>
      <c r="P1413" s="22"/>
    </row>
    <row r="1414" spans="11:16" s="1" customFormat="1" x14ac:dyDescent="0.25">
      <c r="K1414" s="28"/>
      <c r="L1414" s="28"/>
      <c r="N1414" s="22"/>
      <c r="O1414" s="22"/>
      <c r="P1414" s="22"/>
    </row>
    <row r="1415" spans="11:16" s="1" customFormat="1" x14ac:dyDescent="0.25">
      <c r="K1415" s="28"/>
      <c r="L1415" s="28"/>
      <c r="N1415" s="22"/>
      <c r="O1415" s="22"/>
      <c r="P1415" s="22"/>
    </row>
    <row r="1416" spans="11:16" s="1" customFormat="1" x14ac:dyDescent="0.25">
      <c r="K1416" s="28"/>
      <c r="L1416" s="28"/>
      <c r="N1416" s="22"/>
      <c r="O1416" s="22"/>
      <c r="P1416" s="22"/>
    </row>
    <row r="1417" spans="11:16" s="1" customFormat="1" x14ac:dyDescent="0.25">
      <c r="K1417" s="28"/>
      <c r="L1417" s="28"/>
      <c r="N1417" s="22"/>
      <c r="O1417" s="22"/>
      <c r="P1417" s="22"/>
    </row>
    <row r="1418" spans="11:16" s="1" customFormat="1" x14ac:dyDescent="0.25">
      <c r="K1418" s="28"/>
      <c r="L1418" s="28"/>
      <c r="N1418" s="22"/>
      <c r="O1418" s="22"/>
      <c r="P1418" s="22"/>
    </row>
    <row r="1419" spans="11:16" s="1" customFormat="1" x14ac:dyDescent="0.25">
      <c r="K1419" s="28"/>
      <c r="L1419" s="28"/>
      <c r="N1419" s="22"/>
      <c r="O1419" s="22"/>
      <c r="P1419" s="22"/>
    </row>
    <row r="1420" spans="11:16" s="1" customFormat="1" x14ac:dyDescent="0.25">
      <c r="K1420" s="28"/>
      <c r="L1420" s="28"/>
      <c r="N1420" s="22"/>
      <c r="O1420" s="22"/>
      <c r="P1420" s="22"/>
    </row>
    <row r="1421" spans="11:16" s="1" customFormat="1" x14ac:dyDescent="0.25">
      <c r="K1421" s="28"/>
      <c r="L1421" s="28"/>
      <c r="N1421" s="22"/>
      <c r="O1421" s="22"/>
      <c r="P1421" s="22"/>
    </row>
    <row r="1422" spans="11:16" s="1" customFormat="1" x14ac:dyDescent="0.25">
      <c r="K1422" s="28"/>
      <c r="L1422" s="28"/>
      <c r="N1422" s="22"/>
      <c r="O1422" s="22"/>
      <c r="P1422" s="22"/>
    </row>
    <row r="1423" spans="11:16" s="1" customFormat="1" x14ac:dyDescent="0.25">
      <c r="K1423" s="28"/>
      <c r="L1423" s="28"/>
      <c r="N1423" s="22"/>
      <c r="O1423" s="22"/>
      <c r="P1423" s="22"/>
    </row>
    <row r="1424" spans="11:16" s="1" customFormat="1" x14ac:dyDescent="0.25">
      <c r="K1424" s="28"/>
      <c r="L1424" s="28"/>
      <c r="N1424" s="22"/>
      <c r="O1424" s="22"/>
      <c r="P1424" s="22"/>
    </row>
    <row r="1425" spans="11:16" s="1" customFormat="1" x14ac:dyDescent="0.25">
      <c r="K1425" s="28"/>
      <c r="L1425" s="28"/>
      <c r="N1425" s="22"/>
      <c r="O1425" s="22"/>
      <c r="P1425" s="22"/>
    </row>
    <row r="1426" spans="11:16" s="1" customFormat="1" x14ac:dyDescent="0.25">
      <c r="K1426" s="28"/>
      <c r="L1426" s="28"/>
      <c r="N1426" s="22"/>
      <c r="O1426" s="22"/>
      <c r="P1426" s="22"/>
    </row>
    <row r="1427" spans="11:16" s="1" customFormat="1" x14ac:dyDescent="0.25">
      <c r="K1427" s="28"/>
      <c r="L1427" s="28"/>
      <c r="N1427" s="22"/>
      <c r="O1427" s="22"/>
      <c r="P1427" s="22"/>
    </row>
    <row r="1428" spans="11:16" s="1" customFormat="1" x14ac:dyDescent="0.25">
      <c r="K1428" s="28"/>
      <c r="L1428" s="28"/>
      <c r="N1428" s="22"/>
      <c r="O1428" s="22"/>
      <c r="P1428" s="22"/>
    </row>
    <row r="1429" spans="11:16" s="1" customFormat="1" x14ac:dyDescent="0.25">
      <c r="K1429" s="28"/>
      <c r="L1429" s="28"/>
      <c r="N1429" s="22"/>
      <c r="O1429" s="22"/>
      <c r="P1429" s="22"/>
    </row>
    <row r="1430" spans="11:16" s="1" customFormat="1" x14ac:dyDescent="0.25">
      <c r="K1430" s="28"/>
      <c r="L1430" s="28"/>
      <c r="N1430" s="22"/>
      <c r="O1430" s="22"/>
      <c r="P1430" s="22"/>
    </row>
    <row r="1431" spans="11:16" s="1" customFormat="1" x14ac:dyDescent="0.25">
      <c r="K1431" s="28"/>
      <c r="L1431" s="28"/>
      <c r="N1431" s="22"/>
      <c r="O1431" s="22"/>
      <c r="P1431" s="22"/>
    </row>
    <row r="1432" spans="11:16" s="1" customFormat="1" x14ac:dyDescent="0.25">
      <c r="K1432" s="28"/>
      <c r="L1432" s="28"/>
      <c r="N1432" s="22"/>
      <c r="O1432" s="22"/>
      <c r="P1432" s="22"/>
    </row>
    <row r="1433" spans="11:16" s="1" customFormat="1" x14ac:dyDescent="0.25">
      <c r="K1433" s="28"/>
      <c r="L1433" s="28"/>
      <c r="N1433" s="22"/>
      <c r="O1433" s="22"/>
      <c r="P1433" s="22"/>
    </row>
    <row r="1434" spans="11:16" s="1" customFormat="1" x14ac:dyDescent="0.25">
      <c r="K1434" s="28"/>
      <c r="L1434" s="28"/>
      <c r="N1434" s="22"/>
      <c r="O1434" s="22"/>
      <c r="P1434" s="22"/>
    </row>
    <row r="1435" spans="11:16" s="1" customFormat="1" x14ac:dyDescent="0.25">
      <c r="K1435" s="28"/>
      <c r="L1435" s="28"/>
      <c r="N1435" s="22"/>
      <c r="O1435" s="22"/>
      <c r="P1435" s="22"/>
    </row>
    <row r="1436" spans="11:16" s="1" customFormat="1" x14ac:dyDescent="0.25">
      <c r="K1436" s="28"/>
      <c r="L1436" s="28"/>
      <c r="N1436" s="22"/>
      <c r="O1436" s="22"/>
      <c r="P1436" s="22"/>
    </row>
    <row r="1437" spans="11:16" s="1" customFormat="1" x14ac:dyDescent="0.25">
      <c r="K1437" s="28"/>
      <c r="L1437" s="28"/>
      <c r="N1437" s="22"/>
      <c r="O1437" s="22"/>
      <c r="P1437" s="22"/>
    </row>
    <row r="1438" spans="11:16" s="1" customFormat="1" x14ac:dyDescent="0.25">
      <c r="K1438" s="28"/>
      <c r="L1438" s="28"/>
      <c r="N1438" s="22"/>
      <c r="O1438" s="22"/>
      <c r="P1438" s="22"/>
    </row>
    <row r="1439" spans="11:16" s="1" customFormat="1" x14ac:dyDescent="0.25">
      <c r="K1439" s="28"/>
      <c r="L1439" s="28"/>
      <c r="N1439" s="22"/>
      <c r="O1439" s="22"/>
      <c r="P1439" s="22"/>
    </row>
    <row r="1440" spans="11:16" s="1" customFormat="1" x14ac:dyDescent="0.25">
      <c r="K1440" s="28"/>
      <c r="L1440" s="28"/>
      <c r="N1440" s="22"/>
      <c r="O1440" s="22"/>
      <c r="P1440" s="22"/>
    </row>
    <row r="1441" spans="11:16" s="1" customFormat="1" x14ac:dyDescent="0.25">
      <c r="K1441" s="28"/>
      <c r="L1441" s="28"/>
      <c r="N1441" s="22"/>
      <c r="O1441" s="22"/>
      <c r="P1441" s="22"/>
    </row>
    <row r="1442" spans="11:16" s="1" customFormat="1" x14ac:dyDescent="0.25">
      <c r="K1442" s="28"/>
      <c r="L1442" s="28"/>
      <c r="N1442" s="22"/>
      <c r="O1442" s="22"/>
      <c r="P1442" s="22"/>
    </row>
    <row r="1443" spans="11:16" s="1" customFormat="1" x14ac:dyDescent="0.25">
      <c r="K1443" s="28"/>
      <c r="L1443" s="28"/>
      <c r="N1443" s="22"/>
      <c r="O1443" s="22"/>
      <c r="P1443" s="22"/>
    </row>
    <row r="1444" spans="11:16" s="1" customFormat="1" x14ac:dyDescent="0.25">
      <c r="K1444" s="28"/>
      <c r="L1444" s="28"/>
      <c r="N1444" s="22"/>
      <c r="O1444" s="22"/>
      <c r="P1444" s="22"/>
    </row>
    <row r="1445" spans="11:16" s="1" customFormat="1" x14ac:dyDescent="0.25">
      <c r="K1445" s="28"/>
      <c r="L1445" s="28"/>
      <c r="N1445" s="22"/>
      <c r="O1445" s="22"/>
      <c r="P1445" s="22"/>
    </row>
    <row r="1446" spans="11:16" s="1" customFormat="1" x14ac:dyDescent="0.25">
      <c r="K1446" s="28"/>
      <c r="L1446" s="28"/>
      <c r="N1446" s="22"/>
      <c r="O1446" s="22"/>
      <c r="P1446" s="22"/>
    </row>
    <row r="1447" spans="11:16" s="1" customFormat="1" x14ac:dyDescent="0.25">
      <c r="K1447" s="28"/>
      <c r="L1447" s="28"/>
      <c r="N1447" s="22"/>
      <c r="O1447" s="22"/>
      <c r="P1447" s="22"/>
    </row>
    <row r="1448" spans="11:16" s="1" customFormat="1" x14ac:dyDescent="0.25">
      <c r="K1448" s="28"/>
      <c r="L1448" s="28"/>
      <c r="N1448" s="22"/>
      <c r="O1448" s="22"/>
      <c r="P1448" s="22"/>
    </row>
    <row r="1449" spans="11:16" s="1" customFormat="1" x14ac:dyDescent="0.25">
      <c r="K1449" s="28"/>
      <c r="L1449" s="28"/>
      <c r="N1449" s="22"/>
      <c r="O1449" s="22"/>
      <c r="P1449" s="22"/>
    </row>
    <row r="1450" spans="11:16" s="1" customFormat="1" x14ac:dyDescent="0.25">
      <c r="K1450" s="28"/>
      <c r="L1450" s="28"/>
      <c r="N1450" s="22"/>
      <c r="O1450" s="22"/>
      <c r="P1450" s="22"/>
    </row>
    <row r="1451" spans="11:16" s="1" customFormat="1" x14ac:dyDescent="0.25">
      <c r="K1451" s="28"/>
      <c r="L1451" s="28"/>
      <c r="N1451" s="22"/>
      <c r="O1451" s="22"/>
      <c r="P1451" s="22"/>
    </row>
    <row r="1452" spans="11:16" s="1" customFormat="1" x14ac:dyDescent="0.25">
      <c r="K1452" s="28"/>
      <c r="L1452" s="28"/>
      <c r="N1452" s="22"/>
      <c r="O1452" s="22"/>
      <c r="P1452" s="22"/>
    </row>
    <row r="1453" spans="11:16" s="1" customFormat="1" x14ac:dyDescent="0.25">
      <c r="K1453" s="28"/>
      <c r="L1453" s="28"/>
      <c r="N1453" s="22"/>
      <c r="O1453" s="22"/>
      <c r="P1453" s="22"/>
    </row>
    <row r="1454" spans="11:16" s="1" customFormat="1" x14ac:dyDescent="0.25">
      <c r="K1454" s="28"/>
      <c r="L1454" s="28"/>
      <c r="N1454" s="22"/>
      <c r="O1454" s="22"/>
      <c r="P1454" s="22"/>
    </row>
    <row r="1455" spans="11:16" s="1" customFormat="1" x14ac:dyDescent="0.25">
      <c r="K1455" s="28"/>
      <c r="L1455" s="28"/>
      <c r="N1455" s="22"/>
      <c r="O1455" s="22"/>
      <c r="P1455" s="22"/>
    </row>
    <row r="1456" spans="11:16" s="1" customFormat="1" x14ac:dyDescent="0.25">
      <c r="K1456" s="28"/>
      <c r="L1456" s="28"/>
      <c r="N1456" s="22"/>
      <c r="O1456" s="22"/>
      <c r="P1456" s="22"/>
    </row>
    <row r="1457" spans="11:16" s="1" customFormat="1" x14ac:dyDescent="0.25">
      <c r="K1457" s="28"/>
      <c r="L1457" s="28"/>
      <c r="N1457" s="22"/>
      <c r="O1457" s="22"/>
      <c r="P1457" s="22"/>
    </row>
    <row r="1458" spans="11:16" s="1" customFormat="1" x14ac:dyDescent="0.25">
      <c r="K1458" s="28"/>
      <c r="L1458" s="28"/>
      <c r="N1458" s="22"/>
      <c r="O1458" s="22"/>
      <c r="P1458" s="22"/>
    </row>
    <row r="1459" spans="11:16" s="1" customFormat="1" x14ac:dyDescent="0.25">
      <c r="K1459" s="28"/>
      <c r="L1459" s="28"/>
      <c r="N1459" s="22"/>
      <c r="O1459" s="22"/>
      <c r="P1459" s="22"/>
    </row>
    <row r="1460" spans="11:16" s="1" customFormat="1" x14ac:dyDescent="0.25">
      <c r="K1460" s="28"/>
      <c r="L1460" s="28"/>
      <c r="N1460" s="22"/>
      <c r="O1460" s="22"/>
      <c r="P1460" s="22"/>
    </row>
    <row r="1461" spans="11:16" s="1" customFormat="1" x14ac:dyDescent="0.25">
      <c r="K1461" s="28"/>
      <c r="L1461" s="28"/>
      <c r="N1461" s="22"/>
      <c r="O1461" s="22"/>
      <c r="P1461" s="22"/>
    </row>
    <row r="1462" spans="11:16" s="1" customFormat="1" x14ac:dyDescent="0.25">
      <c r="K1462" s="28"/>
      <c r="L1462" s="28"/>
      <c r="N1462" s="22"/>
      <c r="O1462" s="22"/>
      <c r="P1462" s="22"/>
    </row>
    <row r="1463" spans="11:16" s="1" customFormat="1" x14ac:dyDescent="0.25">
      <c r="K1463" s="28"/>
      <c r="L1463" s="28"/>
      <c r="N1463" s="22"/>
      <c r="O1463" s="22"/>
      <c r="P1463" s="22"/>
    </row>
    <row r="1464" spans="11:16" s="1" customFormat="1" x14ac:dyDescent="0.25">
      <c r="K1464" s="28"/>
      <c r="L1464" s="28"/>
      <c r="N1464" s="22"/>
      <c r="O1464" s="22"/>
      <c r="P1464" s="22"/>
    </row>
    <row r="1465" spans="11:16" s="1" customFormat="1" x14ac:dyDescent="0.25">
      <c r="K1465" s="28"/>
      <c r="L1465" s="28"/>
      <c r="N1465" s="22"/>
      <c r="O1465" s="22"/>
      <c r="P1465" s="22"/>
    </row>
    <row r="1466" spans="11:16" s="1" customFormat="1" x14ac:dyDescent="0.25">
      <c r="K1466" s="28"/>
      <c r="L1466" s="28"/>
      <c r="N1466" s="22"/>
      <c r="O1466" s="22"/>
      <c r="P1466" s="22"/>
    </row>
    <row r="1467" spans="11:16" s="1" customFormat="1" x14ac:dyDescent="0.25">
      <c r="K1467" s="28"/>
      <c r="L1467" s="28"/>
      <c r="N1467" s="22"/>
      <c r="O1467" s="22"/>
      <c r="P1467" s="22"/>
    </row>
    <row r="1468" spans="11:16" s="1" customFormat="1" x14ac:dyDescent="0.25">
      <c r="K1468" s="28"/>
      <c r="L1468" s="28"/>
      <c r="N1468" s="22"/>
      <c r="O1468" s="22"/>
      <c r="P1468" s="22"/>
    </row>
    <row r="1469" spans="11:16" s="1" customFormat="1" x14ac:dyDescent="0.25">
      <c r="K1469" s="28"/>
      <c r="L1469" s="28"/>
      <c r="N1469" s="22"/>
      <c r="O1469" s="22"/>
      <c r="P1469" s="22"/>
    </row>
    <row r="1470" spans="11:16" s="1" customFormat="1" x14ac:dyDescent="0.25">
      <c r="K1470" s="28"/>
      <c r="L1470" s="28"/>
      <c r="N1470" s="22"/>
      <c r="O1470" s="22"/>
      <c r="P1470" s="22"/>
    </row>
    <row r="1471" spans="11:16" s="1" customFormat="1" x14ac:dyDescent="0.25">
      <c r="K1471" s="28"/>
      <c r="L1471" s="28"/>
      <c r="N1471" s="22"/>
      <c r="O1471" s="22"/>
      <c r="P1471" s="22"/>
    </row>
    <row r="1472" spans="11:16" s="1" customFormat="1" x14ac:dyDescent="0.25">
      <c r="K1472" s="28"/>
      <c r="L1472" s="28"/>
      <c r="N1472" s="22"/>
      <c r="O1472" s="22"/>
      <c r="P1472" s="22"/>
    </row>
    <row r="1473" spans="11:16" s="1" customFormat="1" x14ac:dyDescent="0.25">
      <c r="K1473" s="28"/>
      <c r="L1473" s="28"/>
      <c r="N1473" s="22"/>
      <c r="O1473" s="22"/>
      <c r="P1473" s="22"/>
    </row>
    <row r="1474" spans="11:16" s="1" customFormat="1" x14ac:dyDescent="0.25">
      <c r="K1474" s="28"/>
      <c r="L1474" s="28"/>
      <c r="N1474" s="22"/>
      <c r="O1474" s="22"/>
      <c r="P1474" s="22"/>
    </row>
    <row r="1475" spans="11:16" s="1" customFormat="1" x14ac:dyDescent="0.25">
      <c r="K1475" s="28"/>
      <c r="L1475" s="28"/>
      <c r="N1475" s="22"/>
      <c r="O1475" s="22"/>
      <c r="P1475" s="22"/>
    </row>
    <row r="1476" spans="11:16" s="1" customFormat="1" x14ac:dyDescent="0.25">
      <c r="K1476" s="28"/>
      <c r="L1476" s="28"/>
      <c r="N1476" s="22"/>
      <c r="O1476" s="22"/>
      <c r="P1476" s="22"/>
    </row>
    <row r="1477" spans="11:16" s="1" customFormat="1" x14ac:dyDescent="0.25">
      <c r="K1477" s="28"/>
      <c r="L1477" s="28"/>
      <c r="N1477" s="22"/>
      <c r="O1477" s="22"/>
      <c r="P1477" s="22"/>
    </row>
    <row r="1478" spans="11:16" s="1" customFormat="1" x14ac:dyDescent="0.25">
      <c r="K1478" s="28"/>
      <c r="L1478" s="28"/>
      <c r="N1478" s="22"/>
      <c r="O1478" s="22"/>
      <c r="P1478" s="22"/>
    </row>
    <row r="1479" spans="11:16" s="1" customFormat="1" x14ac:dyDescent="0.25">
      <c r="K1479" s="28"/>
      <c r="L1479" s="28"/>
      <c r="N1479" s="22"/>
      <c r="O1479" s="22"/>
      <c r="P1479" s="22"/>
    </row>
    <row r="1480" spans="11:16" s="1" customFormat="1" x14ac:dyDescent="0.25">
      <c r="K1480" s="28"/>
      <c r="L1480" s="28"/>
      <c r="N1480" s="22"/>
      <c r="O1480" s="22"/>
      <c r="P1480" s="22"/>
    </row>
    <row r="1481" spans="11:16" s="1" customFormat="1" x14ac:dyDescent="0.25">
      <c r="K1481" s="28"/>
      <c r="L1481" s="28"/>
      <c r="N1481" s="22"/>
      <c r="O1481" s="22"/>
      <c r="P1481" s="22"/>
    </row>
    <row r="1482" spans="11:16" s="1" customFormat="1" x14ac:dyDescent="0.25">
      <c r="K1482" s="28"/>
      <c r="L1482" s="28"/>
      <c r="N1482" s="22"/>
      <c r="O1482" s="22"/>
      <c r="P1482" s="22"/>
    </row>
    <row r="1483" spans="11:16" s="1" customFormat="1" x14ac:dyDescent="0.25">
      <c r="K1483" s="28"/>
      <c r="L1483" s="28"/>
      <c r="N1483" s="22"/>
      <c r="O1483" s="22"/>
      <c r="P1483" s="22"/>
    </row>
    <row r="1484" spans="11:16" s="1" customFormat="1" x14ac:dyDescent="0.25">
      <c r="K1484" s="28"/>
      <c r="L1484" s="28"/>
      <c r="N1484" s="22"/>
      <c r="O1484" s="22"/>
      <c r="P1484" s="22"/>
    </row>
    <row r="1485" spans="11:16" s="1" customFormat="1" x14ac:dyDescent="0.25">
      <c r="K1485" s="28"/>
      <c r="L1485" s="28"/>
      <c r="N1485" s="22"/>
      <c r="O1485" s="22"/>
      <c r="P1485" s="22"/>
    </row>
    <row r="1486" spans="11:16" s="1" customFormat="1" x14ac:dyDescent="0.25">
      <c r="K1486" s="28"/>
      <c r="L1486" s="28"/>
      <c r="N1486" s="22"/>
      <c r="O1486" s="22"/>
      <c r="P1486" s="22"/>
    </row>
    <row r="1487" spans="11:16" s="1" customFormat="1" x14ac:dyDescent="0.25">
      <c r="K1487" s="28"/>
      <c r="L1487" s="28"/>
      <c r="N1487" s="22"/>
      <c r="O1487" s="22"/>
      <c r="P1487" s="22"/>
    </row>
    <row r="1488" spans="11:16" s="1" customFormat="1" x14ac:dyDescent="0.25">
      <c r="K1488" s="28"/>
      <c r="L1488" s="28"/>
      <c r="N1488" s="22"/>
      <c r="O1488" s="22"/>
      <c r="P1488" s="22"/>
    </row>
    <row r="1489" spans="11:16" s="1" customFormat="1" x14ac:dyDescent="0.25">
      <c r="K1489" s="28"/>
      <c r="L1489" s="28"/>
      <c r="N1489" s="22"/>
      <c r="O1489" s="22"/>
      <c r="P1489" s="22"/>
    </row>
    <row r="1490" spans="11:16" s="1" customFormat="1" x14ac:dyDescent="0.25">
      <c r="K1490" s="28"/>
      <c r="L1490" s="28"/>
      <c r="N1490" s="22"/>
      <c r="O1490" s="22"/>
      <c r="P1490" s="22"/>
    </row>
    <row r="1491" spans="11:16" s="1" customFormat="1" x14ac:dyDescent="0.25">
      <c r="K1491" s="28"/>
      <c r="L1491" s="28"/>
      <c r="N1491" s="22"/>
      <c r="O1491" s="22"/>
      <c r="P1491" s="22"/>
    </row>
    <row r="1492" spans="11:16" s="1" customFormat="1" x14ac:dyDescent="0.25">
      <c r="K1492" s="28"/>
      <c r="L1492" s="28"/>
      <c r="N1492" s="22"/>
      <c r="O1492" s="22"/>
      <c r="P1492" s="22"/>
    </row>
    <row r="1493" spans="11:16" s="1" customFormat="1" x14ac:dyDescent="0.25">
      <c r="K1493" s="28"/>
      <c r="L1493" s="28"/>
      <c r="N1493" s="22"/>
      <c r="O1493" s="22"/>
      <c r="P1493" s="22"/>
    </row>
    <row r="1494" spans="11:16" s="1" customFormat="1" x14ac:dyDescent="0.25">
      <c r="K1494" s="28"/>
      <c r="L1494" s="28"/>
      <c r="N1494" s="22"/>
      <c r="O1494" s="22"/>
      <c r="P1494" s="22"/>
    </row>
    <row r="1495" spans="11:16" s="1" customFormat="1" x14ac:dyDescent="0.25">
      <c r="K1495" s="28"/>
      <c r="L1495" s="28"/>
      <c r="N1495" s="22"/>
      <c r="O1495" s="22"/>
      <c r="P1495" s="22"/>
    </row>
    <row r="1496" spans="11:16" s="1" customFormat="1" x14ac:dyDescent="0.25">
      <c r="K1496" s="28"/>
      <c r="L1496" s="28"/>
      <c r="N1496" s="22"/>
      <c r="O1496" s="22"/>
      <c r="P1496" s="22"/>
    </row>
    <row r="1497" spans="11:16" s="1" customFormat="1" x14ac:dyDescent="0.25">
      <c r="K1497" s="28"/>
      <c r="L1497" s="28"/>
      <c r="N1497" s="22"/>
      <c r="O1497" s="22"/>
      <c r="P1497" s="22"/>
    </row>
    <row r="1498" spans="11:16" s="1" customFormat="1" x14ac:dyDescent="0.25">
      <c r="K1498" s="28"/>
      <c r="L1498" s="28"/>
      <c r="N1498" s="22"/>
      <c r="O1498" s="22"/>
      <c r="P1498" s="22"/>
    </row>
    <row r="1499" spans="11:16" s="1" customFormat="1" x14ac:dyDescent="0.25">
      <c r="K1499" s="28"/>
      <c r="L1499" s="28"/>
      <c r="N1499" s="22"/>
      <c r="O1499" s="22"/>
      <c r="P1499" s="22"/>
    </row>
    <row r="1500" spans="11:16" s="1" customFormat="1" x14ac:dyDescent="0.25">
      <c r="K1500" s="28"/>
      <c r="L1500" s="28"/>
      <c r="N1500" s="22"/>
      <c r="O1500" s="22"/>
      <c r="P1500" s="22"/>
    </row>
    <row r="1501" spans="11:16" s="1" customFormat="1" x14ac:dyDescent="0.25">
      <c r="K1501" s="28"/>
      <c r="L1501" s="28"/>
      <c r="N1501" s="22"/>
      <c r="O1501" s="22"/>
      <c r="P1501" s="22"/>
    </row>
    <row r="1502" spans="11:16" s="1" customFormat="1" x14ac:dyDescent="0.25">
      <c r="K1502" s="28"/>
      <c r="L1502" s="28"/>
      <c r="N1502" s="22"/>
      <c r="O1502" s="22"/>
      <c r="P1502" s="22"/>
    </row>
    <row r="1503" spans="11:16" s="1" customFormat="1" x14ac:dyDescent="0.25">
      <c r="K1503" s="28"/>
      <c r="L1503" s="28"/>
      <c r="N1503" s="22"/>
      <c r="O1503" s="22"/>
      <c r="P1503" s="22"/>
    </row>
    <row r="1504" spans="11:16" s="1" customFormat="1" x14ac:dyDescent="0.25">
      <c r="K1504" s="28"/>
      <c r="L1504" s="28"/>
      <c r="N1504" s="22"/>
      <c r="O1504" s="22"/>
      <c r="P1504" s="22"/>
    </row>
    <row r="1505" spans="11:16" s="1" customFormat="1" x14ac:dyDescent="0.25">
      <c r="K1505" s="28"/>
      <c r="L1505" s="28"/>
      <c r="N1505" s="22"/>
      <c r="O1505" s="22"/>
      <c r="P1505" s="22"/>
    </row>
    <row r="1506" spans="11:16" s="1" customFormat="1" x14ac:dyDescent="0.25">
      <c r="K1506" s="28"/>
      <c r="L1506" s="28"/>
      <c r="N1506" s="22"/>
      <c r="O1506" s="22"/>
      <c r="P1506" s="22"/>
    </row>
    <row r="1507" spans="11:16" s="1" customFormat="1" x14ac:dyDescent="0.25">
      <c r="K1507" s="28"/>
      <c r="L1507" s="28"/>
      <c r="N1507" s="22"/>
      <c r="O1507" s="22"/>
      <c r="P1507" s="22"/>
    </row>
    <row r="1508" spans="11:16" s="1" customFormat="1" x14ac:dyDescent="0.25">
      <c r="K1508" s="28"/>
      <c r="L1508" s="28"/>
      <c r="N1508" s="22"/>
      <c r="O1508" s="22"/>
      <c r="P1508" s="22"/>
    </row>
    <row r="1509" spans="11:16" s="1" customFormat="1" x14ac:dyDescent="0.25">
      <c r="K1509" s="28"/>
      <c r="L1509" s="28"/>
      <c r="N1509" s="22"/>
      <c r="O1509" s="22"/>
      <c r="P1509" s="22"/>
    </row>
    <row r="1510" spans="11:16" s="1" customFormat="1" x14ac:dyDescent="0.25">
      <c r="K1510" s="28"/>
      <c r="L1510" s="28"/>
      <c r="N1510" s="22"/>
      <c r="O1510" s="22"/>
      <c r="P1510" s="22"/>
    </row>
    <row r="1511" spans="11:16" s="1" customFormat="1" x14ac:dyDescent="0.25">
      <c r="K1511" s="28"/>
      <c r="L1511" s="28"/>
      <c r="N1511" s="22"/>
      <c r="O1511" s="22"/>
      <c r="P1511" s="22"/>
    </row>
    <row r="1512" spans="11:16" s="1" customFormat="1" x14ac:dyDescent="0.25">
      <c r="K1512" s="28"/>
      <c r="L1512" s="28"/>
      <c r="N1512" s="22"/>
      <c r="O1512" s="22"/>
      <c r="P1512" s="22"/>
    </row>
    <row r="1513" spans="11:16" s="1" customFormat="1" x14ac:dyDescent="0.25">
      <c r="K1513" s="28"/>
      <c r="L1513" s="28"/>
      <c r="N1513" s="22"/>
      <c r="O1513" s="22"/>
      <c r="P1513" s="22"/>
    </row>
    <row r="1514" spans="11:16" s="1" customFormat="1" x14ac:dyDescent="0.25">
      <c r="K1514" s="28"/>
      <c r="L1514" s="28"/>
      <c r="N1514" s="22"/>
      <c r="O1514" s="22"/>
      <c r="P1514" s="22"/>
    </row>
    <row r="1515" spans="11:16" s="1" customFormat="1" x14ac:dyDescent="0.25">
      <c r="K1515" s="28"/>
      <c r="L1515" s="28"/>
      <c r="N1515" s="22"/>
      <c r="O1515" s="22"/>
      <c r="P1515" s="22"/>
    </row>
    <row r="1516" spans="11:16" s="1" customFormat="1" x14ac:dyDescent="0.25">
      <c r="K1516" s="28"/>
      <c r="L1516" s="28"/>
      <c r="N1516" s="22"/>
      <c r="O1516" s="22"/>
      <c r="P1516" s="22"/>
    </row>
    <row r="1517" spans="11:16" s="1" customFormat="1" x14ac:dyDescent="0.25">
      <c r="K1517" s="28"/>
      <c r="L1517" s="28"/>
      <c r="N1517" s="22"/>
      <c r="O1517" s="22"/>
      <c r="P1517" s="22"/>
    </row>
    <row r="1518" spans="11:16" s="1" customFormat="1" x14ac:dyDescent="0.25">
      <c r="K1518" s="28"/>
      <c r="L1518" s="28"/>
      <c r="N1518" s="22"/>
      <c r="O1518" s="22"/>
      <c r="P1518" s="22"/>
    </row>
    <row r="1519" spans="11:16" s="1" customFormat="1" x14ac:dyDescent="0.25">
      <c r="K1519" s="28"/>
      <c r="L1519" s="28"/>
      <c r="N1519" s="22"/>
      <c r="O1519" s="22"/>
      <c r="P1519" s="22"/>
    </row>
    <row r="1520" spans="11:16" s="1" customFormat="1" x14ac:dyDescent="0.25">
      <c r="K1520" s="28"/>
      <c r="L1520" s="28"/>
      <c r="N1520" s="22"/>
      <c r="O1520" s="22"/>
      <c r="P1520" s="22"/>
    </row>
    <row r="1521" spans="11:16" s="1" customFormat="1" x14ac:dyDescent="0.25">
      <c r="K1521" s="28"/>
      <c r="L1521" s="28"/>
      <c r="N1521" s="22"/>
      <c r="O1521" s="22"/>
      <c r="P1521" s="22"/>
    </row>
    <row r="1522" spans="11:16" s="1" customFormat="1" x14ac:dyDescent="0.25">
      <c r="K1522" s="28"/>
      <c r="L1522" s="28"/>
      <c r="N1522" s="22"/>
      <c r="O1522" s="22"/>
      <c r="P1522" s="22"/>
    </row>
    <row r="1523" spans="11:16" s="1" customFormat="1" x14ac:dyDescent="0.25">
      <c r="K1523" s="28"/>
      <c r="L1523" s="28"/>
      <c r="N1523" s="22"/>
      <c r="O1523" s="22"/>
      <c r="P1523" s="22"/>
    </row>
    <row r="1524" spans="11:16" s="1" customFormat="1" x14ac:dyDescent="0.25">
      <c r="K1524" s="28"/>
      <c r="L1524" s="28"/>
      <c r="N1524" s="22"/>
      <c r="O1524" s="22"/>
      <c r="P1524" s="22"/>
    </row>
    <row r="1525" spans="11:16" s="1" customFormat="1" x14ac:dyDescent="0.25">
      <c r="K1525" s="28"/>
      <c r="L1525" s="28"/>
      <c r="N1525" s="22"/>
      <c r="O1525" s="22"/>
      <c r="P1525" s="22"/>
    </row>
    <row r="1526" spans="11:16" s="1" customFormat="1" x14ac:dyDescent="0.25">
      <c r="K1526" s="28"/>
      <c r="L1526" s="28"/>
      <c r="N1526" s="22"/>
      <c r="O1526" s="22"/>
      <c r="P1526" s="22"/>
    </row>
    <row r="1527" spans="11:16" s="1" customFormat="1" x14ac:dyDescent="0.25">
      <c r="K1527" s="28"/>
      <c r="L1527" s="28"/>
      <c r="N1527" s="22"/>
      <c r="O1527" s="22"/>
      <c r="P1527" s="22"/>
    </row>
    <row r="1528" spans="11:16" s="1" customFormat="1" x14ac:dyDescent="0.25">
      <c r="K1528" s="28"/>
      <c r="L1528" s="28"/>
      <c r="N1528" s="22"/>
      <c r="O1528" s="22"/>
      <c r="P1528" s="22"/>
    </row>
    <row r="1529" spans="11:16" s="1" customFormat="1" x14ac:dyDescent="0.25">
      <c r="K1529" s="28"/>
      <c r="L1529" s="28"/>
      <c r="N1529" s="22"/>
      <c r="O1529" s="22"/>
      <c r="P1529" s="22"/>
    </row>
    <row r="1530" spans="11:16" s="1" customFormat="1" x14ac:dyDescent="0.25">
      <c r="K1530" s="28"/>
      <c r="L1530" s="28"/>
      <c r="N1530" s="22"/>
      <c r="O1530" s="22"/>
      <c r="P1530" s="22"/>
    </row>
    <row r="1531" spans="11:16" s="1" customFormat="1" x14ac:dyDescent="0.25">
      <c r="K1531" s="28"/>
      <c r="L1531" s="28"/>
      <c r="N1531" s="22"/>
      <c r="O1531" s="22"/>
      <c r="P1531" s="22"/>
    </row>
    <row r="1532" spans="11:16" s="1" customFormat="1" x14ac:dyDescent="0.25">
      <c r="K1532" s="28"/>
      <c r="L1532" s="28"/>
      <c r="N1532" s="22"/>
      <c r="O1532" s="22"/>
      <c r="P1532" s="22"/>
    </row>
    <row r="1533" spans="11:16" s="1" customFormat="1" x14ac:dyDescent="0.25">
      <c r="K1533" s="28"/>
      <c r="L1533" s="28"/>
      <c r="N1533" s="22"/>
      <c r="O1533" s="22"/>
      <c r="P1533" s="22"/>
    </row>
    <row r="1534" spans="11:16" s="1" customFormat="1" x14ac:dyDescent="0.25">
      <c r="K1534" s="28"/>
      <c r="L1534" s="28"/>
      <c r="N1534" s="22"/>
      <c r="O1534" s="22"/>
      <c r="P1534" s="22"/>
    </row>
    <row r="1535" spans="11:16" s="1" customFormat="1" x14ac:dyDescent="0.25">
      <c r="K1535" s="28"/>
      <c r="L1535" s="28"/>
      <c r="N1535" s="22"/>
      <c r="O1535" s="22"/>
      <c r="P1535" s="22"/>
    </row>
    <row r="1536" spans="11:16" s="1" customFormat="1" x14ac:dyDescent="0.25">
      <c r="K1536" s="28"/>
      <c r="L1536" s="28"/>
      <c r="N1536" s="22"/>
      <c r="O1536" s="22"/>
      <c r="P1536" s="22"/>
    </row>
    <row r="1537" spans="11:16" s="1" customFormat="1" x14ac:dyDescent="0.25">
      <c r="K1537" s="28"/>
      <c r="L1537" s="28"/>
      <c r="N1537" s="22"/>
      <c r="O1537" s="22"/>
      <c r="P1537" s="22"/>
    </row>
    <row r="1538" spans="11:16" s="1" customFormat="1" x14ac:dyDescent="0.25">
      <c r="K1538" s="28"/>
      <c r="L1538" s="28"/>
      <c r="N1538" s="22"/>
      <c r="O1538" s="22"/>
      <c r="P1538" s="22"/>
    </row>
    <row r="1539" spans="11:16" s="1" customFormat="1" x14ac:dyDescent="0.25">
      <c r="K1539" s="28"/>
      <c r="L1539" s="28"/>
      <c r="N1539" s="22"/>
      <c r="O1539" s="22"/>
      <c r="P1539" s="22"/>
    </row>
    <row r="1540" spans="11:16" s="1" customFormat="1" x14ac:dyDescent="0.25">
      <c r="K1540" s="28"/>
      <c r="L1540" s="28"/>
      <c r="N1540" s="22"/>
      <c r="O1540" s="22"/>
      <c r="P1540" s="22"/>
    </row>
    <row r="1541" spans="11:16" s="1" customFormat="1" x14ac:dyDescent="0.25">
      <c r="K1541" s="28"/>
      <c r="L1541" s="28"/>
      <c r="N1541" s="22"/>
      <c r="O1541" s="22"/>
      <c r="P1541" s="22"/>
    </row>
    <row r="1542" spans="11:16" s="1" customFormat="1" x14ac:dyDescent="0.25">
      <c r="K1542" s="28"/>
      <c r="L1542" s="28"/>
      <c r="N1542" s="22"/>
      <c r="O1542" s="22"/>
      <c r="P1542" s="22"/>
    </row>
    <row r="1543" spans="11:16" s="1" customFormat="1" x14ac:dyDescent="0.25">
      <c r="K1543" s="28"/>
      <c r="L1543" s="28"/>
      <c r="N1543" s="22"/>
      <c r="O1543" s="22"/>
      <c r="P1543" s="22"/>
    </row>
    <row r="1544" spans="11:16" s="1" customFormat="1" x14ac:dyDescent="0.25">
      <c r="K1544" s="28"/>
      <c r="L1544" s="28"/>
      <c r="N1544" s="22"/>
      <c r="O1544" s="22"/>
      <c r="P1544" s="22"/>
    </row>
    <row r="1545" spans="11:16" s="1" customFormat="1" x14ac:dyDescent="0.25">
      <c r="K1545" s="28"/>
      <c r="L1545" s="28"/>
      <c r="N1545" s="22"/>
      <c r="O1545" s="22"/>
      <c r="P1545" s="22"/>
    </row>
    <row r="1546" spans="11:16" s="1" customFormat="1" x14ac:dyDescent="0.25">
      <c r="K1546" s="28"/>
      <c r="L1546" s="28"/>
      <c r="N1546" s="22"/>
      <c r="O1546" s="22"/>
      <c r="P1546" s="22"/>
    </row>
    <row r="1547" spans="11:16" s="1" customFormat="1" x14ac:dyDescent="0.25">
      <c r="K1547" s="28"/>
      <c r="L1547" s="28"/>
      <c r="N1547" s="22"/>
      <c r="O1547" s="22"/>
      <c r="P1547" s="22"/>
    </row>
    <row r="1548" spans="11:16" s="1" customFormat="1" x14ac:dyDescent="0.25">
      <c r="K1548" s="28"/>
      <c r="L1548" s="28"/>
      <c r="N1548" s="22"/>
      <c r="O1548" s="22"/>
      <c r="P1548" s="22"/>
    </row>
    <row r="1549" spans="11:16" s="1" customFormat="1" x14ac:dyDescent="0.25">
      <c r="K1549" s="28"/>
      <c r="L1549" s="28"/>
      <c r="N1549" s="22"/>
      <c r="O1549" s="22"/>
      <c r="P1549" s="22"/>
    </row>
    <row r="1550" spans="11:16" s="1" customFormat="1" x14ac:dyDescent="0.25">
      <c r="K1550" s="28"/>
      <c r="L1550" s="28"/>
      <c r="N1550" s="22"/>
      <c r="O1550" s="22"/>
      <c r="P1550" s="22"/>
    </row>
    <row r="1551" spans="11:16" s="1" customFormat="1" x14ac:dyDescent="0.25">
      <c r="K1551" s="28"/>
      <c r="L1551" s="28"/>
      <c r="N1551" s="22"/>
      <c r="O1551" s="22"/>
      <c r="P1551" s="22"/>
    </row>
    <row r="1552" spans="11:16" s="1" customFormat="1" x14ac:dyDescent="0.25">
      <c r="K1552" s="28"/>
      <c r="L1552" s="28"/>
      <c r="N1552" s="22"/>
      <c r="O1552" s="22"/>
      <c r="P1552" s="22"/>
    </row>
    <row r="1553" spans="11:16" s="1" customFormat="1" x14ac:dyDescent="0.25">
      <c r="K1553" s="28"/>
      <c r="L1553" s="28"/>
      <c r="N1553" s="22"/>
      <c r="O1553" s="22"/>
      <c r="P1553" s="22"/>
    </row>
    <row r="1554" spans="11:16" s="1" customFormat="1" x14ac:dyDescent="0.25">
      <c r="K1554" s="28"/>
      <c r="L1554" s="28"/>
      <c r="N1554" s="22"/>
      <c r="O1554" s="22"/>
      <c r="P1554" s="22"/>
    </row>
    <row r="1555" spans="11:16" s="1" customFormat="1" x14ac:dyDescent="0.25">
      <c r="K1555" s="28"/>
      <c r="L1555" s="28"/>
      <c r="N1555" s="22"/>
      <c r="O1555" s="22"/>
      <c r="P1555" s="22"/>
    </row>
    <row r="1556" spans="11:16" s="1" customFormat="1" x14ac:dyDescent="0.25">
      <c r="K1556" s="28"/>
      <c r="L1556" s="28"/>
      <c r="N1556" s="22"/>
      <c r="O1556" s="22"/>
      <c r="P1556" s="22"/>
    </row>
    <row r="1557" spans="11:16" s="1" customFormat="1" x14ac:dyDescent="0.25">
      <c r="K1557" s="28"/>
      <c r="L1557" s="28"/>
      <c r="N1557" s="22"/>
      <c r="O1557" s="22"/>
      <c r="P1557" s="22"/>
    </row>
    <row r="1558" spans="11:16" s="1" customFormat="1" x14ac:dyDescent="0.25">
      <c r="K1558" s="28"/>
      <c r="L1558" s="28"/>
      <c r="N1558" s="22"/>
      <c r="O1558" s="22"/>
      <c r="P1558" s="22"/>
    </row>
    <row r="1559" spans="11:16" s="1" customFormat="1" x14ac:dyDescent="0.25">
      <c r="K1559" s="28"/>
      <c r="L1559" s="28"/>
      <c r="N1559" s="22"/>
      <c r="O1559" s="22"/>
      <c r="P1559" s="22"/>
    </row>
    <row r="1560" spans="11:16" s="1" customFormat="1" x14ac:dyDescent="0.25">
      <c r="K1560" s="28"/>
      <c r="L1560" s="28"/>
      <c r="N1560" s="22"/>
      <c r="O1560" s="22"/>
      <c r="P1560" s="22"/>
    </row>
    <row r="1561" spans="11:16" s="1" customFormat="1" x14ac:dyDescent="0.25">
      <c r="K1561" s="28"/>
      <c r="L1561" s="28"/>
      <c r="N1561" s="22"/>
      <c r="O1561" s="22"/>
      <c r="P1561" s="22"/>
    </row>
    <row r="1562" spans="11:16" s="1" customFormat="1" x14ac:dyDescent="0.25">
      <c r="K1562" s="28"/>
      <c r="L1562" s="28"/>
      <c r="N1562" s="22"/>
      <c r="O1562" s="22"/>
      <c r="P1562" s="22"/>
    </row>
    <row r="1563" spans="11:16" s="1" customFormat="1" x14ac:dyDescent="0.25">
      <c r="K1563" s="28"/>
      <c r="L1563" s="28"/>
      <c r="N1563" s="22"/>
      <c r="O1563" s="22"/>
      <c r="P1563" s="22"/>
    </row>
    <row r="1564" spans="11:16" s="1" customFormat="1" x14ac:dyDescent="0.25">
      <c r="K1564" s="28"/>
      <c r="L1564" s="28"/>
      <c r="N1564" s="22"/>
      <c r="O1564" s="22"/>
      <c r="P1564" s="22"/>
    </row>
    <row r="1565" spans="11:16" s="1" customFormat="1" x14ac:dyDescent="0.25">
      <c r="K1565" s="28"/>
      <c r="L1565" s="28"/>
      <c r="N1565" s="22"/>
      <c r="O1565" s="22"/>
      <c r="P1565" s="22"/>
    </row>
    <row r="1566" spans="11:16" s="1" customFormat="1" x14ac:dyDescent="0.25">
      <c r="K1566" s="28"/>
      <c r="L1566" s="28"/>
      <c r="N1566" s="22"/>
      <c r="O1566" s="22"/>
      <c r="P1566" s="22"/>
    </row>
    <row r="1567" spans="11:16" s="1" customFormat="1" x14ac:dyDescent="0.25">
      <c r="K1567" s="28"/>
      <c r="L1567" s="28"/>
      <c r="N1567" s="22"/>
      <c r="O1567" s="22"/>
      <c r="P1567" s="22"/>
    </row>
    <row r="1568" spans="11:16" s="1" customFormat="1" x14ac:dyDescent="0.25">
      <c r="K1568" s="28"/>
      <c r="L1568" s="28"/>
      <c r="N1568" s="22"/>
      <c r="O1568" s="22"/>
      <c r="P1568" s="22"/>
    </row>
    <row r="1569" spans="11:16" s="1" customFormat="1" x14ac:dyDescent="0.25">
      <c r="K1569" s="28"/>
      <c r="L1569" s="28"/>
      <c r="N1569" s="22"/>
      <c r="O1569" s="22"/>
      <c r="P1569" s="22"/>
    </row>
    <row r="1570" spans="11:16" s="1" customFormat="1" x14ac:dyDescent="0.25">
      <c r="K1570" s="28"/>
      <c r="L1570" s="28"/>
      <c r="N1570" s="22"/>
      <c r="O1570" s="22"/>
      <c r="P1570" s="22"/>
    </row>
    <row r="1571" spans="11:16" s="1" customFormat="1" x14ac:dyDescent="0.25">
      <c r="K1571" s="28"/>
      <c r="L1571" s="28"/>
      <c r="N1571" s="22"/>
      <c r="O1571" s="22"/>
      <c r="P1571" s="22"/>
    </row>
    <row r="1572" spans="11:16" s="1" customFormat="1" x14ac:dyDescent="0.25">
      <c r="K1572" s="28"/>
      <c r="L1572" s="28"/>
      <c r="N1572" s="22"/>
      <c r="O1572" s="22"/>
      <c r="P1572" s="22"/>
    </row>
    <row r="1573" spans="11:16" s="1" customFormat="1" x14ac:dyDescent="0.25">
      <c r="K1573" s="28"/>
      <c r="L1573" s="28"/>
      <c r="N1573" s="22"/>
      <c r="O1573" s="22"/>
      <c r="P1573" s="22"/>
    </row>
    <row r="1574" spans="11:16" s="1" customFormat="1" x14ac:dyDescent="0.25">
      <c r="K1574" s="28"/>
      <c r="L1574" s="28"/>
      <c r="N1574" s="22"/>
      <c r="O1574" s="22"/>
      <c r="P1574" s="22"/>
    </row>
    <row r="1575" spans="11:16" s="1" customFormat="1" x14ac:dyDescent="0.25">
      <c r="K1575" s="28"/>
      <c r="L1575" s="28"/>
      <c r="N1575" s="22"/>
      <c r="O1575" s="22"/>
      <c r="P1575" s="22"/>
    </row>
    <row r="1576" spans="11:16" s="1" customFormat="1" x14ac:dyDescent="0.25">
      <c r="K1576" s="28"/>
      <c r="L1576" s="28"/>
      <c r="N1576" s="22"/>
      <c r="O1576" s="22"/>
      <c r="P1576" s="22"/>
    </row>
    <row r="1577" spans="11:16" s="1" customFormat="1" x14ac:dyDescent="0.25">
      <c r="K1577" s="28"/>
      <c r="L1577" s="28"/>
      <c r="N1577" s="22"/>
      <c r="O1577" s="22"/>
      <c r="P1577" s="22"/>
    </row>
    <row r="1578" spans="11:16" s="1" customFormat="1" x14ac:dyDescent="0.25">
      <c r="K1578" s="28"/>
      <c r="L1578" s="28"/>
      <c r="N1578" s="22"/>
      <c r="O1578" s="22"/>
      <c r="P1578" s="22"/>
    </row>
    <row r="1579" spans="11:16" s="1" customFormat="1" x14ac:dyDescent="0.25">
      <c r="K1579" s="28"/>
      <c r="L1579" s="28"/>
      <c r="N1579" s="22"/>
      <c r="O1579" s="22"/>
      <c r="P1579" s="22"/>
    </row>
    <row r="1580" spans="11:16" s="1" customFormat="1" x14ac:dyDescent="0.25">
      <c r="K1580" s="28"/>
      <c r="L1580" s="28"/>
      <c r="N1580" s="22"/>
      <c r="O1580" s="22"/>
      <c r="P1580" s="22"/>
    </row>
    <row r="1581" spans="11:16" s="1" customFormat="1" x14ac:dyDescent="0.25">
      <c r="K1581" s="28"/>
      <c r="L1581" s="28"/>
      <c r="N1581" s="22"/>
      <c r="O1581" s="22"/>
      <c r="P1581" s="22"/>
    </row>
    <row r="1582" spans="11:16" s="1" customFormat="1" x14ac:dyDescent="0.25">
      <c r="K1582" s="28"/>
      <c r="L1582" s="28"/>
      <c r="N1582" s="22"/>
      <c r="O1582" s="22"/>
      <c r="P1582" s="22"/>
    </row>
    <row r="1583" spans="11:16" s="1" customFormat="1" x14ac:dyDescent="0.25">
      <c r="K1583" s="28"/>
      <c r="L1583" s="28"/>
      <c r="N1583" s="22"/>
      <c r="O1583" s="22"/>
      <c r="P1583" s="22"/>
    </row>
    <row r="1584" spans="11:16" s="1" customFormat="1" x14ac:dyDescent="0.25">
      <c r="K1584" s="28"/>
      <c r="L1584" s="28"/>
      <c r="N1584" s="22"/>
      <c r="O1584" s="22"/>
      <c r="P1584" s="22"/>
    </row>
    <row r="1585" spans="11:16" s="1" customFormat="1" x14ac:dyDescent="0.25">
      <c r="K1585" s="28"/>
      <c r="L1585" s="28"/>
      <c r="N1585" s="22"/>
      <c r="O1585" s="22"/>
      <c r="P1585" s="22"/>
    </row>
    <row r="1586" spans="11:16" s="1" customFormat="1" x14ac:dyDescent="0.25">
      <c r="K1586" s="28"/>
      <c r="L1586" s="28"/>
      <c r="N1586" s="22"/>
      <c r="O1586" s="22"/>
      <c r="P1586" s="22"/>
    </row>
    <row r="1587" spans="11:16" s="1" customFormat="1" x14ac:dyDescent="0.25">
      <c r="K1587" s="28"/>
      <c r="L1587" s="28"/>
      <c r="N1587" s="22"/>
      <c r="O1587" s="22"/>
      <c r="P1587" s="22"/>
    </row>
    <row r="1588" spans="11:16" s="1" customFormat="1" x14ac:dyDescent="0.25">
      <c r="K1588" s="28"/>
      <c r="L1588" s="28"/>
      <c r="N1588" s="22"/>
      <c r="O1588" s="22"/>
      <c r="P1588" s="22"/>
    </row>
    <row r="1589" spans="11:16" s="1" customFormat="1" x14ac:dyDescent="0.25">
      <c r="K1589" s="28"/>
      <c r="L1589" s="28"/>
      <c r="N1589" s="22"/>
      <c r="O1589" s="22"/>
      <c r="P1589" s="22"/>
    </row>
    <row r="1590" spans="11:16" s="1" customFormat="1" x14ac:dyDescent="0.25">
      <c r="K1590" s="28"/>
      <c r="L1590" s="28"/>
      <c r="N1590" s="22"/>
      <c r="O1590" s="22"/>
      <c r="P1590" s="22"/>
    </row>
    <row r="1591" spans="11:16" s="1" customFormat="1" x14ac:dyDescent="0.25">
      <c r="K1591" s="28"/>
      <c r="L1591" s="28"/>
      <c r="N1591" s="22"/>
      <c r="O1591" s="22"/>
      <c r="P1591" s="22"/>
    </row>
    <row r="1592" spans="11:16" s="1" customFormat="1" x14ac:dyDescent="0.25">
      <c r="K1592" s="28"/>
      <c r="L1592" s="28"/>
      <c r="N1592" s="22"/>
      <c r="O1592" s="22"/>
      <c r="P1592" s="22"/>
    </row>
    <row r="1593" spans="11:16" s="1" customFormat="1" x14ac:dyDescent="0.25">
      <c r="K1593" s="28"/>
      <c r="L1593" s="28"/>
      <c r="N1593" s="22"/>
      <c r="O1593" s="22"/>
      <c r="P1593" s="22"/>
    </row>
    <row r="1594" spans="11:16" s="1" customFormat="1" x14ac:dyDescent="0.25">
      <c r="K1594" s="28"/>
      <c r="L1594" s="28"/>
      <c r="N1594" s="22"/>
      <c r="O1594" s="22"/>
      <c r="P1594" s="22"/>
    </row>
    <row r="1595" spans="11:16" s="1" customFormat="1" x14ac:dyDescent="0.25">
      <c r="K1595" s="28"/>
      <c r="L1595" s="28"/>
      <c r="N1595" s="22"/>
      <c r="O1595" s="22"/>
      <c r="P1595" s="22"/>
    </row>
    <row r="1596" spans="11:16" s="1" customFormat="1" x14ac:dyDescent="0.25">
      <c r="K1596" s="28"/>
      <c r="L1596" s="28"/>
      <c r="N1596" s="22"/>
      <c r="O1596" s="22"/>
      <c r="P1596" s="22"/>
    </row>
    <row r="1597" spans="11:16" s="1" customFormat="1" x14ac:dyDescent="0.25">
      <c r="K1597" s="28"/>
      <c r="L1597" s="28"/>
      <c r="N1597" s="22"/>
      <c r="O1597" s="22"/>
      <c r="P1597" s="22"/>
    </row>
    <row r="1598" spans="11:16" s="1" customFormat="1" x14ac:dyDescent="0.25">
      <c r="K1598" s="28"/>
      <c r="L1598" s="28"/>
      <c r="N1598" s="22"/>
      <c r="O1598" s="22"/>
      <c r="P1598" s="22"/>
    </row>
    <row r="1599" spans="11:16" s="1" customFormat="1" x14ac:dyDescent="0.25">
      <c r="K1599" s="28"/>
      <c r="L1599" s="28"/>
      <c r="N1599" s="22"/>
      <c r="O1599" s="22"/>
      <c r="P1599" s="22"/>
    </row>
    <row r="1600" spans="11:16" s="1" customFormat="1" x14ac:dyDescent="0.25">
      <c r="K1600" s="28"/>
      <c r="L1600" s="28"/>
      <c r="N1600" s="22"/>
      <c r="O1600" s="22"/>
      <c r="P1600" s="22"/>
    </row>
    <row r="1601" spans="11:16" s="1" customFormat="1" x14ac:dyDescent="0.25">
      <c r="K1601" s="28"/>
      <c r="L1601" s="28"/>
      <c r="N1601" s="22"/>
      <c r="O1601" s="22"/>
      <c r="P1601" s="22"/>
    </row>
    <row r="1602" spans="11:16" s="1" customFormat="1" x14ac:dyDescent="0.25">
      <c r="K1602" s="28"/>
      <c r="L1602" s="28"/>
      <c r="N1602" s="22"/>
      <c r="O1602" s="22"/>
      <c r="P1602" s="22"/>
    </row>
    <row r="1603" spans="11:16" s="1" customFormat="1" x14ac:dyDescent="0.25">
      <c r="K1603" s="28"/>
      <c r="L1603" s="28"/>
      <c r="N1603" s="22"/>
      <c r="O1603" s="22"/>
      <c r="P1603" s="22"/>
    </row>
    <row r="1604" spans="11:16" s="1" customFormat="1" x14ac:dyDescent="0.25">
      <c r="K1604" s="28"/>
      <c r="L1604" s="28"/>
      <c r="N1604" s="22"/>
      <c r="O1604" s="22"/>
      <c r="P1604" s="22"/>
    </row>
    <row r="1605" spans="11:16" s="1" customFormat="1" x14ac:dyDescent="0.25">
      <c r="K1605" s="28"/>
      <c r="L1605" s="28"/>
      <c r="N1605" s="22"/>
      <c r="O1605" s="22"/>
      <c r="P1605" s="22"/>
    </row>
    <row r="1606" spans="11:16" s="1" customFormat="1" x14ac:dyDescent="0.25">
      <c r="K1606" s="28"/>
      <c r="L1606" s="28"/>
      <c r="N1606" s="22"/>
      <c r="O1606" s="22"/>
      <c r="P1606" s="22"/>
    </row>
    <row r="1607" spans="11:16" s="1" customFormat="1" x14ac:dyDescent="0.25">
      <c r="K1607" s="28"/>
      <c r="L1607" s="28"/>
      <c r="N1607" s="22"/>
      <c r="O1607" s="22"/>
      <c r="P1607" s="22"/>
    </row>
    <row r="1608" spans="11:16" s="1" customFormat="1" x14ac:dyDescent="0.25">
      <c r="K1608" s="28"/>
      <c r="L1608" s="28"/>
      <c r="N1608" s="22"/>
      <c r="O1608" s="22"/>
      <c r="P1608" s="22"/>
    </row>
    <row r="1609" spans="11:16" s="1" customFormat="1" x14ac:dyDescent="0.25">
      <c r="K1609" s="28"/>
      <c r="L1609" s="28"/>
      <c r="N1609" s="22"/>
      <c r="O1609" s="22"/>
      <c r="P1609" s="22"/>
    </row>
    <row r="1610" spans="11:16" s="1" customFormat="1" x14ac:dyDescent="0.25">
      <c r="K1610" s="28"/>
      <c r="L1610" s="28"/>
      <c r="N1610" s="22"/>
      <c r="O1610" s="22"/>
      <c r="P1610" s="22"/>
    </row>
    <row r="1611" spans="11:16" s="1" customFormat="1" x14ac:dyDescent="0.25">
      <c r="K1611" s="28"/>
      <c r="L1611" s="28"/>
      <c r="N1611" s="22"/>
      <c r="O1611" s="22"/>
      <c r="P1611" s="22"/>
    </row>
    <row r="1612" spans="11:16" s="1" customFormat="1" x14ac:dyDescent="0.25">
      <c r="K1612" s="28"/>
      <c r="L1612" s="28"/>
      <c r="N1612" s="22"/>
      <c r="O1612" s="22"/>
      <c r="P1612" s="22"/>
    </row>
    <row r="1613" spans="11:16" s="1" customFormat="1" x14ac:dyDescent="0.25">
      <c r="K1613" s="28"/>
      <c r="L1613" s="28"/>
      <c r="N1613" s="22"/>
      <c r="O1613" s="22"/>
      <c r="P1613" s="22"/>
    </row>
    <row r="1614" spans="11:16" s="1" customFormat="1" x14ac:dyDescent="0.25">
      <c r="K1614" s="28"/>
      <c r="L1614" s="28"/>
      <c r="N1614" s="22"/>
      <c r="O1614" s="22"/>
      <c r="P1614" s="22"/>
    </row>
    <row r="1615" spans="11:16" s="1" customFormat="1" x14ac:dyDescent="0.25">
      <c r="K1615" s="28"/>
      <c r="L1615" s="28"/>
      <c r="N1615" s="22"/>
      <c r="O1615" s="22"/>
      <c r="P1615" s="22"/>
    </row>
    <row r="1616" spans="11:16" s="1" customFormat="1" x14ac:dyDescent="0.25">
      <c r="K1616" s="28"/>
      <c r="L1616" s="28"/>
      <c r="N1616" s="22"/>
      <c r="O1616" s="22"/>
      <c r="P1616" s="22"/>
    </row>
    <row r="1617" spans="11:16" s="1" customFormat="1" x14ac:dyDescent="0.25">
      <c r="K1617" s="28"/>
      <c r="L1617" s="28"/>
      <c r="N1617" s="22"/>
      <c r="O1617" s="22"/>
      <c r="P1617" s="22"/>
    </row>
    <row r="1618" spans="11:16" s="1" customFormat="1" x14ac:dyDescent="0.25">
      <c r="K1618" s="28"/>
      <c r="L1618" s="28"/>
      <c r="N1618" s="22"/>
      <c r="O1618" s="22"/>
      <c r="P1618" s="22"/>
    </row>
    <row r="1619" spans="11:16" s="1" customFormat="1" x14ac:dyDescent="0.25">
      <c r="K1619" s="28"/>
      <c r="L1619" s="28"/>
      <c r="N1619" s="22"/>
      <c r="O1619" s="22"/>
      <c r="P1619" s="22"/>
    </row>
    <row r="1620" spans="11:16" s="1" customFormat="1" x14ac:dyDescent="0.25">
      <c r="K1620" s="28"/>
      <c r="L1620" s="28"/>
      <c r="N1620" s="22"/>
      <c r="O1620" s="22"/>
      <c r="P1620" s="22"/>
    </row>
    <row r="1621" spans="11:16" s="1" customFormat="1" x14ac:dyDescent="0.25">
      <c r="K1621" s="28"/>
      <c r="L1621" s="28"/>
      <c r="N1621" s="22"/>
      <c r="O1621" s="22"/>
      <c r="P1621" s="22"/>
    </row>
    <row r="1622" spans="11:16" s="1" customFormat="1" x14ac:dyDescent="0.25">
      <c r="K1622" s="28"/>
      <c r="L1622" s="28"/>
      <c r="N1622" s="22"/>
      <c r="O1622" s="22"/>
      <c r="P1622" s="22"/>
    </row>
    <row r="1623" spans="11:16" s="1" customFormat="1" x14ac:dyDescent="0.25">
      <c r="K1623" s="28"/>
      <c r="L1623" s="28"/>
      <c r="N1623" s="22"/>
      <c r="O1623" s="22"/>
      <c r="P1623" s="22"/>
    </row>
    <row r="1624" spans="11:16" s="1" customFormat="1" x14ac:dyDescent="0.25">
      <c r="K1624" s="28"/>
      <c r="L1624" s="28"/>
      <c r="N1624" s="22"/>
      <c r="O1624" s="22"/>
      <c r="P1624" s="22"/>
    </row>
    <row r="1625" spans="11:16" s="1" customFormat="1" x14ac:dyDescent="0.25">
      <c r="K1625" s="28"/>
      <c r="L1625" s="28"/>
      <c r="N1625" s="22"/>
      <c r="O1625" s="22"/>
      <c r="P1625" s="22"/>
    </row>
    <row r="1626" spans="11:16" s="1" customFormat="1" x14ac:dyDescent="0.25">
      <c r="K1626" s="28"/>
      <c r="L1626" s="28"/>
      <c r="N1626" s="22"/>
      <c r="O1626" s="22"/>
      <c r="P1626" s="22"/>
    </row>
    <row r="1627" spans="11:16" s="1" customFormat="1" x14ac:dyDescent="0.25">
      <c r="K1627" s="28"/>
      <c r="L1627" s="28"/>
      <c r="N1627" s="22"/>
      <c r="O1627" s="22"/>
      <c r="P1627" s="22"/>
    </row>
    <row r="1628" spans="11:16" s="1" customFormat="1" x14ac:dyDescent="0.25">
      <c r="K1628" s="28"/>
      <c r="L1628" s="28"/>
      <c r="N1628" s="22"/>
      <c r="O1628" s="22"/>
      <c r="P1628" s="22"/>
    </row>
    <row r="1629" spans="11:16" s="1" customFormat="1" x14ac:dyDescent="0.25">
      <c r="K1629" s="28"/>
      <c r="L1629" s="28"/>
      <c r="N1629" s="22"/>
      <c r="O1629" s="22"/>
      <c r="P1629" s="22"/>
    </row>
    <row r="1630" spans="11:16" s="1" customFormat="1" x14ac:dyDescent="0.25">
      <c r="K1630" s="28"/>
      <c r="L1630" s="28"/>
      <c r="N1630" s="22"/>
      <c r="O1630" s="22"/>
      <c r="P1630" s="22"/>
    </row>
    <row r="1631" spans="11:16" s="1" customFormat="1" x14ac:dyDescent="0.25">
      <c r="K1631" s="28"/>
      <c r="L1631" s="28"/>
      <c r="N1631" s="22"/>
      <c r="O1631" s="22"/>
      <c r="P1631" s="22"/>
    </row>
    <row r="1632" spans="11:16" s="1" customFormat="1" x14ac:dyDescent="0.25">
      <c r="K1632" s="28"/>
      <c r="L1632" s="28"/>
      <c r="N1632" s="22"/>
      <c r="O1632" s="22"/>
      <c r="P1632" s="22"/>
    </row>
    <row r="1633" spans="11:16" s="1" customFormat="1" x14ac:dyDescent="0.25">
      <c r="K1633" s="28"/>
      <c r="L1633" s="28"/>
      <c r="N1633" s="22"/>
      <c r="O1633" s="22"/>
      <c r="P1633" s="22"/>
    </row>
    <row r="1634" spans="11:16" s="1" customFormat="1" x14ac:dyDescent="0.25">
      <c r="K1634" s="28"/>
      <c r="L1634" s="28"/>
      <c r="N1634" s="22"/>
      <c r="O1634" s="22"/>
      <c r="P1634" s="22"/>
    </row>
    <row r="1635" spans="11:16" s="1" customFormat="1" x14ac:dyDescent="0.25">
      <c r="K1635" s="28"/>
      <c r="L1635" s="28"/>
      <c r="N1635" s="22"/>
      <c r="O1635" s="22"/>
      <c r="P1635" s="22"/>
    </row>
    <row r="1636" spans="11:16" s="1" customFormat="1" x14ac:dyDescent="0.25">
      <c r="K1636" s="28"/>
      <c r="L1636" s="28"/>
      <c r="N1636" s="22"/>
      <c r="O1636" s="22"/>
      <c r="P1636" s="22"/>
    </row>
    <row r="1637" spans="11:16" s="1" customFormat="1" x14ac:dyDescent="0.25">
      <c r="K1637" s="28"/>
      <c r="L1637" s="28"/>
      <c r="N1637" s="22"/>
      <c r="O1637" s="22"/>
      <c r="P1637" s="22"/>
    </row>
    <row r="1638" spans="11:16" s="1" customFormat="1" x14ac:dyDescent="0.25">
      <c r="K1638" s="28"/>
      <c r="L1638" s="28"/>
      <c r="N1638" s="22"/>
      <c r="O1638" s="22"/>
      <c r="P1638" s="22"/>
    </row>
    <row r="1639" spans="11:16" s="1" customFormat="1" x14ac:dyDescent="0.25">
      <c r="K1639" s="28"/>
      <c r="L1639" s="28"/>
      <c r="N1639" s="22"/>
      <c r="O1639" s="22"/>
      <c r="P1639" s="22"/>
    </row>
    <row r="1640" spans="11:16" s="1" customFormat="1" x14ac:dyDescent="0.25">
      <c r="K1640" s="28"/>
      <c r="L1640" s="28"/>
      <c r="N1640" s="22"/>
      <c r="O1640" s="22"/>
      <c r="P1640" s="22"/>
    </row>
    <row r="1641" spans="11:16" s="1" customFormat="1" x14ac:dyDescent="0.25">
      <c r="K1641" s="28"/>
      <c r="L1641" s="28"/>
      <c r="N1641" s="22"/>
      <c r="O1641" s="22"/>
      <c r="P1641" s="22"/>
    </row>
    <row r="1642" spans="11:16" s="1" customFormat="1" x14ac:dyDescent="0.25">
      <c r="K1642" s="28"/>
      <c r="L1642" s="28"/>
      <c r="N1642" s="22"/>
      <c r="O1642" s="22"/>
      <c r="P1642" s="22"/>
    </row>
    <row r="1643" spans="11:16" s="1" customFormat="1" x14ac:dyDescent="0.25">
      <c r="K1643" s="28"/>
      <c r="L1643" s="28"/>
      <c r="N1643" s="22"/>
      <c r="O1643" s="22"/>
      <c r="P1643" s="22"/>
    </row>
    <row r="1644" spans="11:16" s="1" customFormat="1" x14ac:dyDescent="0.25">
      <c r="K1644" s="28"/>
      <c r="L1644" s="28"/>
      <c r="N1644" s="22"/>
      <c r="O1644" s="22"/>
      <c r="P1644" s="22"/>
    </row>
    <row r="1645" spans="11:16" s="1" customFormat="1" x14ac:dyDescent="0.25">
      <c r="K1645" s="28"/>
      <c r="L1645" s="28"/>
      <c r="N1645" s="22"/>
      <c r="O1645" s="22"/>
      <c r="P1645" s="22"/>
    </row>
    <row r="1646" spans="11:16" s="1" customFormat="1" x14ac:dyDescent="0.25">
      <c r="K1646" s="28"/>
      <c r="L1646" s="28"/>
      <c r="N1646" s="22"/>
      <c r="O1646" s="22"/>
      <c r="P1646" s="22"/>
    </row>
    <row r="1647" spans="11:16" s="1" customFormat="1" x14ac:dyDescent="0.25">
      <c r="K1647" s="28"/>
      <c r="L1647" s="28"/>
      <c r="N1647" s="22"/>
      <c r="O1647" s="22"/>
      <c r="P1647" s="22"/>
    </row>
    <row r="1648" spans="11:16" s="1" customFormat="1" x14ac:dyDescent="0.25">
      <c r="K1648" s="28"/>
      <c r="L1648" s="28"/>
      <c r="N1648" s="22"/>
      <c r="O1648" s="22"/>
      <c r="P1648" s="22"/>
    </row>
    <row r="1649" spans="11:16" s="1" customFormat="1" x14ac:dyDescent="0.25">
      <c r="K1649" s="28"/>
      <c r="L1649" s="28"/>
      <c r="N1649" s="22"/>
      <c r="O1649" s="22"/>
      <c r="P1649" s="22"/>
    </row>
    <row r="1650" spans="11:16" s="1" customFormat="1" x14ac:dyDescent="0.25">
      <c r="K1650" s="28"/>
      <c r="L1650" s="28"/>
      <c r="N1650" s="22"/>
      <c r="O1650" s="22"/>
      <c r="P1650" s="22"/>
    </row>
    <row r="1651" spans="11:16" s="1" customFormat="1" x14ac:dyDescent="0.25">
      <c r="K1651" s="28"/>
      <c r="L1651" s="28"/>
      <c r="N1651" s="22"/>
      <c r="O1651" s="22"/>
      <c r="P1651" s="22"/>
    </row>
    <row r="1652" spans="11:16" s="1" customFormat="1" x14ac:dyDescent="0.25">
      <c r="K1652" s="28"/>
      <c r="L1652" s="28"/>
      <c r="N1652" s="22"/>
      <c r="O1652" s="22"/>
      <c r="P1652" s="22"/>
    </row>
    <row r="1653" spans="11:16" s="1" customFormat="1" x14ac:dyDescent="0.25">
      <c r="K1653" s="28"/>
      <c r="L1653" s="28"/>
      <c r="N1653" s="22"/>
      <c r="O1653" s="22"/>
      <c r="P1653" s="22"/>
    </row>
    <row r="1654" spans="11:16" s="1" customFormat="1" x14ac:dyDescent="0.25">
      <c r="K1654" s="28"/>
      <c r="L1654" s="28"/>
      <c r="N1654" s="22"/>
      <c r="O1654" s="22"/>
      <c r="P1654" s="22"/>
    </row>
    <row r="1655" spans="11:16" s="1" customFormat="1" x14ac:dyDescent="0.25">
      <c r="K1655" s="28"/>
      <c r="L1655" s="28"/>
      <c r="N1655" s="22"/>
      <c r="O1655" s="22"/>
      <c r="P1655" s="22"/>
    </row>
    <row r="1656" spans="11:16" s="1" customFormat="1" x14ac:dyDescent="0.25">
      <c r="K1656" s="28"/>
      <c r="L1656" s="28"/>
      <c r="N1656" s="22"/>
      <c r="O1656" s="22"/>
      <c r="P1656" s="22"/>
    </row>
    <row r="1657" spans="11:16" s="1" customFormat="1" x14ac:dyDescent="0.25">
      <c r="K1657" s="28"/>
      <c r="L1657" s="28"/>
      <c r="N1657" s="22"/>
      <c r="O1657" s="22"/>
      <c r="P1657" s="22"/>
    </row>
    <row r="1658" spans="11:16" s="1" customFormat="1" x14ac:dyDescent="0.25">
      <c r="K1658" s="28"/>
      <c r="L1658" s="28"/>
      <c r="N1658" s="22"/>
      <c r="O1658" s="22"/>
      <c r="P1658" s="22"/>
    </row>
    <row r="1659" spans="11:16" s="1" customFormat="1" x14ac:dyDescent="0.25">
      <c r="K1659" s="28"/>
      <c r="L1659" s="28"/>
      <c r="N1659" s="22"/>
      <c r="O1659" s="22"/>
      <c r="P1659" s="22"/>
    </row>
    <row r="1660" spans="11:16" s="1" customFormat="1" x14ac:dyDescent="0.25">
      <c r="K1660" s="28"/>
      <c r="L1660" s="28"/>
      <c r="N1660" s="22"/>
      <c r="O1660" s="22"/>
      <c r="P1660" s="22"/>
    </row>
    <row r="1661" spans="11:16" s="1" customFormat="1" x14ac:dyDescent="0.25">
      <c r="K1661" s="28"/>
      <c r="L1661" s="28"/>
      <c r="N1661" s="22"/>
      <c r="O1661" s="22"/>
      <c r="P1661" s="22"/>
    </row>
    <row r="1662" spans="11:16" s="1" customFormat="1" x14ac:dyDescent="0.25">
      <c r="K1662" s="28"/>
      <c r="L1662" s="28"/>
      <c r="N1662" s="22"/>
      <c r="O1662" s="22"/>
      <c r="P1662" s="22"/>
    </row>
    <row r="1663" spans="11:16" s="1" customFormat="1" x14ac:dyDescent="0.25">
      <c r="K1663" s="28"/>
      <c r="L1663" s="28"/>
      <c r="N1663" s="22"/>
      <c r="O1663" s="22"/>
      <c r="P1663" s="22"/>
    </row>
    <row r="1664" spans="11:16" s="1" customFormat="1" x14ac:dyDescent="0.25">
      <c r="K1664" s="28"/>
      <c r="L1664" s="28"/>
      <c r="N1664" s="22"/>
      <c r="O1664" s="22"/>
      <c r="P1664" s="22"/>
    </row>
    <row r="1665" spans="11:16" s="1" customFormat="1" x14ac:dyDescent="0.25">
      <c r="K1665" s="28"/>
      <c r="L1665" s="28"/>
      <c r="N1665" s="22"/>
      <c r="O1665" s="22"/>
      <c r="P1665" s="22"/>
    </row>
    <row r="1666" spans="11:16" s="1" customFormat="1" x14ac:dyDescent="0.25">
      <c r="K1666" s="28"/>
      <c r="L1666" s="28"/>
      <c r="N1666" s="22"/>
      <c r="O1666" s="22"/>
      <c r="P1666" s="22"/>
    </row>
    <row r="1667" spans="11:16" s="1" customFormat="1" x14ac:dyDescent="0.25">
      <c r="K1667" s="28"/>
      <c r="L1667" s="28"/>
      <c r="N1667" s="22"/>
      <c r="O1667" s="22"/>
      <c r="P1667" s="22"/>
    </row>
    <row r="1668" spans="11:16" s="1" customFormat="1" x14ac:dyDescent="0.25">
      <c r="K1668" s="28"/>
      <c r="L1668" s="28"/>
      <c r="N1668" s="22"/>
      <c r="O1668" s="22"/>
      <c r="P1668" s="22"/>
    </row>
    <row r="1669" spans="11:16" s="1" customFormat="1" x14ac:dyDescent="0.25">
      <c r="K1669" s="28"/>
      <c r="L1669" s="28"/>
      <c r="N1669" s="22"/>
      <c r="O1669" s="22"/>
      <c r="P1669" s="22"/>
    </row>
    <row r="1670" spans="11:16" s="1" customFormat="1" x14ac:dyDescent="0.25">
      <c r="K1670" s="28"/>
      <c r="L1670" s="28"/>
      <c r="N1670" s="22"/>
      <c r="O1670" s="22"/>
      <c r="P1670" s="22"/>
    </row>
    <row r="1671" spans="11:16" s="1" customFormat="1" x14ac:dyDescent="0.25">
      <c r="K1671" s="28"/>
      <c r="L1671" s="28"/>
      <c r="N1671" s="22"/>
      <c r="O1671" s="22"/>
      <c r="P1671" s="22"/>
    </row>
    <row r="1672" spans="11:16" s="1" customFormat="1" x14ac:dyDescent="0.25">
      <c r="K1672" s="28"/>
      <c r="L1672" s="28"/>
      <c r="N1672" s="22"/>
      <c r="O1672" s="22"/>
      <c r="P1672" s="22"/>
    </row>
    <row r="1673" spans="11:16" s="1" customFormat="1" x14ac:dyDescent="0.25">
      <c r="K1673" s="28"/>
      <c r="L1673" s="28"/>
      <c r="N1673" s="22"/>
      <c r="O1673" s="22"/>
      <c r="P1673" s="22"/>
    </row>
    <row r="1674" spans="11:16" s="1" customFormat="1" x14ac:dyDescent="0.25">
      <c r="K1674" s="28"/>
      <c r="L1674" s="28"/>
      <c r="N1674" s="22"/>
      <c r="O1674" s="22"/>
      <c r="P1674" s="22"/>
    </row>
    <row r="1675" spans="11:16" s="1" customFormat="1" x14ac:dyDescent="0.25">
      <c r="K1675" s="28"/>
      <c r="L1675" s="28"/>
      <c r="N1675" s="22"/>
      <c r="O1675" s="22"/>
      <c r="P1675" s="22"/>
    </row>
    <row r="1676" spans="11:16" s="1" customFormat="1" x14ac:dyDescent="0.25">
      <c r="K1676" s="28"/>
      <c r="L1676" s="28"/>
      <c r="N1676" s="22"/>
      <c r="O1676" s="22"/>
      <c r="P1676" s="22"/>
    </row>
    <row r="1677" spans="11:16" s="1" customFormat="1" x14ac:dyDescent="0.25">
      <c r="K1677" s="28"/>
      <c r="L1677" s="28"/>
      <c r="N1677" s="22"/>
      <c r="O1677" s="22"/>
      <c r="P1677" s="22"/>
    </row>
    <row r="1678" spans="11:16" s="1" customFormat="1" x14ac:dyDescent="0.25">
      <c r="K1678" s="28"/>
      <c r="L1678" s="28"/>
      <c r="N1678" s="22"/>
      <c r="O1678" s="22"/>
      <c r="P1678" s="22"/>
    </row>
    <row r="1679" spans="11:16" s="1" customFormat="1" x14ac:dyDescent="0.25">
      <c r="K1679" s="28"/>
      <c r="L1679" s="28"/>
      <c r="N1679" s="22"/>
      <c r="O1679" s="22"/>
      <c r="P1679" s="22"/>
    </row>
    <row r="1680" spans="11:16" s="1" customFormat="1" x14ac:dyDescent="0.25">
      <c r="K1680" s="28"/>
      <c r="L1680" s="28"/>
      <c r="N1680" s="22"/>
      <c r="O1680" s="22"/>
      <c r="P1680" s="22"/>
    </row>
    <row r="1681" spans="11:16" s="1" customFormat="1" x14ac:dyDescent="0.25">
      <c r="K1681" s="28"/>
      <c r="L1681" s="28"/>
      <c r="N1681" s="22"/>
      <c r="O1681" s="22"/>
      <c r="P1681" s="22"/>
    </row>
    <row r="1682" spans="11:16" s="1" customFormat="1" x14ac:dyDescent="0.25">
      <c r="K1682" s="28"/>
      <c r="L1682" s="28"/>
      <c r="N1682" s="22"/>
      <c r="O1682" s="22"/>
      <c r="P1682" s="22"/>
    </row>
    <row r="1683" spans="11:16" s="1" customFormat="1" x14ac:dyDescent="0.25">
      <c r="K1683" s="28"/>
      <c r="L1683" s="28"/>
      <c r="N1683" s="22"/>
      <c r="O1683" s="22"/>
      <c r="P1683" s="22"/>
    </row>
    <row r="1684" spans="11:16" s="1" customFormat="1" x14ac:dyDescent="0.25">
      <c r="K1684" s="28"/>
      <c r="L1684" s="28"/>
      <c r="N1684" s="22"/>
      <c r="O1684" s="22"/>
      <c r="P1684" s="22"/>
    </row>
    <row r="1685" spans="11:16" s="1" customFormat="1" x14ac:dyDescent="0.25">
      <c r="K1685" s="28"/>
      <c r="L1685" s="28"/>
      <c r="N1685" s="22"/>
      <c r="O1685" s="22"/>
      <c r="P1685" s="22"/>
    </row>
    <row r="1686" spans="11:16" s="1" customFormat="1" x14ac:dyDescent="0.25">
      <c r="K1686" s="28"/>
      <c r="L1686" s="28"/>
      <c r="N1686" s="22"/>
      <c r="O1686" s="22"/>
      <c r="P1686" s="22"/>
    </row>
    <row r="1687" spans="11:16" s="1" customFormat="1" x14ac:dyDescent="0.25">
      <c r="K1687" s="28"/>
      <c r="L1687" s="28"/>
      <c r="N1687" s="22"/>
      <c r="O1687" s="22"/>
      <c r="P1687" s="22"/>
    </row>
    <row r="1688" spans="11:16" s="1" customFormat="1" x14ac:dyDescent="0.25">
      <c r="K1688" s="28"/>
      <c r="L1688" s="28"/>
      <c r="N1688" s="22"/>
      <c r="O1688" s="22"/>
      <c r="P1688" s="22"/>
    </row>
    <row r="1689" spans="11:16" s="1" customFormat="1" x14ac:dyDescent="0.25">
      <c r="K1689" s="28"/>
      <c r="L1689" s="28"/>
      <c r="N1689" s="22"/>
      <c r="O1689" s="22"/>
      <c r="P1689" s="22"/>
    </row>
    <row r="1690" spans="11:16" s="1" customFormat="1" x14ac:dyDescent="0.25">
      <c r="K1690" s="28"/>
      <c r="L1690" s="28"/>
      <c r="N1690" s="22"/>
      <c r="O1690" s="22"/>
      <c r="P1690" s="22"/>
    </row>
    <row r="1691" spans="11:16" s="1" customFormat="1" x14ac:dyDescent="0.25">
      <c r="K1691" s="28"/>
      <c r="L1691" s="28"/>
      <c r="N1691" s="22"/>
      <c r="O1691" s="22"/>
      <c r="P1691" s="22"/>
    </row>
    <row r="1692" spans="11:16" s="1" customFormat="1" x14ac:dyDescent="0.25">
      <c r="K1692" s="28"/>
      <c r="L1692" s="28"/>
      <c r="N1692" s="22"/>
      <c r="O1692" s="22"/>
      <c r="P1692" s="22"/>
    </row>
    <row r="1693" spans="11:16" s="1" customFormat="1" x14ac:dyDescent="0.25">
      <c r="K1693" s="28"/>
      <c r="L1693" s="28"/>
      <c r="N1693" s="22"/>
      <c r="O1693" s="22"/>
      <c r="P1693" s="22"/>
    </row>
    <row r="1694" spans="11:16" s="1" customFormat="1" x14ac:dyDescent="0.25">
      <c r="K1694" s="28"/>
      <c r="L1694" s="28"/>
      <c r="N1694" s="22"/>
      <c r="O1694" s="22"/>
      <c r="P1694" s="22"/>
    </row>
    <row r="1695" spans="11:16" s="1" customFormat="1" x14ac:dyDescent="0.25">
      <c r="K1695" s="28"/>
      <c r="L1695" s="28"/>
      <c r="N1695" s="22"/>
      <c r="O1695" s="22"/>
      <c r="P1695" s="22"/>
    </row>
    <row r="1696" spans="11:16" s="1" customFormat="1" x14ac:dyDescent="0.25">
      <c r="K1696" s="28"/>
      <c r="L1696" s="28"/>
      <c r="N1696" s="22"/>
      <c r="O1696" s="22"/>
      <c r="P1696" s="22"/>
    </row>
    <row r="1697" spans="11:16" s="1" customFormat="1" x14ac:dyDescent="0.25">
      <c r="K1697" s="28"/>
      <c r="L1697" s="28"/>
      <c r="N1697" s="22"/>
      <c r="O1697" s="22"/>
      <c r="P1697" s="22"/>
    </row>
    <row r="1698" spans="11:16" s="1" customFormat="1" x14ac:dyDescent="0.25">
      <c r="K1698" s="28"/>
      <c r="L1698" s="28"/>
      <c r="N1698" s="22"/>
      <c r="O1698" s="22"/>
      <c r="P1698" s="22"/>
    </row>
    <row r="1699" spans="11:16" s="1" customFormat="1" x14ac:dyDescent="0.25">
      <c r="K1699" s="28"/>
      <c r="L1699" s="28"/>
      <c r="N1699" s="22"/>
      <c r="O1699" s="22"/>
      <c r="P1699" s="22"/>
    </row>
    <row r="1700" spans="11:16" s="1" customFormat="1" x14ac:dyDescent="0.25">
      <c r="K1700" s="28"/>
      <c r="L1700" s="28"/>
      <c r="N1700" s="22"/>
      <c r="O1700" s="22"/>
      <c r="P1700" s="22"/>
    </row>
    <row r="1701" spans="11:16" s="1" customFormat="1" x14ac:dyDescent="0.25">
      <c r="K1701" s="28"/>
      <c r="L1701" s="28"/>
      <c r="N1701" s="22"/>
      <c r="O1701" s="22"/>
      <c r="P1701" s="22"/>
    </row>
    <row r="1702" spans="11:16" s="1" customFormat="1" x14ac:dyDescent="0.25">
      <c r="K1702" s="28"/>
      <c r="L1702" s="28"/>
      <c r="N1702" s="22"/>
      <c r="O1702" s="22"/>
      <c r="P1702" s="22"/>
    </row>
    <row r="1703" spans="11:16" s="1" customFormat="1" x14ac:dyDescent="0.25">
      <c r="K1703" s="28"/>
      <c r="L1703" s="28"/>
      <c r="N1703" s="22"/>
      <c r="O1703" s="22"/>
      <c r="P1703" s="22"/>
    </row>
    <row r="1704" spans="11:16" s="1" customFormat="1" x14ac:dyDescent="0.25">
      <c r="K1704" s="28"/>
      <c r="L1704" s="28"/>
      <c r="N1704" s="22"/>
      <c r="O1704" s="22"/>
      <c r="P1704" s="22"/>
    </row>
    <row r="1705" spans="11:16" s="1" customFormat="1" x14ac:dyDescent="0.25">
      <c r="K1705" s="28"/>
      <c r="L1705" s="28"/>
      <c r="N1705" s="22"/>
      <c r="O1705" s="22"/>
      <c r="P1705" s="22"/>
    </row>
    <row r="1706" spans="11:16" s="1" customFormat="1" x14ac:dyDescent="0.25">
      <c r="K1706" s="28"/>
      <c r="L1706" s="28"/>
      <c r="N1706" s="22"/>
      <c r="O1706" s="22"/>
      <c r="P1706" s="22"/>
    </row>
    <row r="1707" spans="11:16" s="1" customFormat="1" x14ac:dyDescent="0.25">
      <c r="K1707" s="28"/>
      <c r="L1707" s="28"/>
      <c r="N1707" s="22"/>
      <c r="O1707" s="22"/>
      <c r="P1707" s="22"/>
    </row>
    <row r="1708" spans="11:16" s="1" customFormat="1" x14ac:dyDescent="0.25">
      <c r="K1708" s="28"/>
      <c r="L1708" s="28"/>
      <c r="N1708" s="22"/>
      <c r="O1708" s="22"/>
      <c r="P1708" s="22"/>
    </row>
    <row r="1709" spans="11:16" s="1" customFormat="1" x14ac:dyDescent="0.25">
      <c r="K1709" s="28"/>
      <c r="L1709" s="28"/>
      <c r="N1709" s="22"/>
      <c r="O1709" s="22"/>
      <c r="P1709" s="22"/>
    </row>
    <row r="1710" spans="11:16" s="1" customFormat="1" x14ac:dyDescent="0.25">
      <c r="K1710" s="28"/>
      <c r="L1710" s="28"/>
      <c r="N1710" s="22"/>
      <c r="O1710" s="22"/>
      <c r="P1710" s="22"/>
    </row>
    <row r="1711" spans="11:16" s="1" customFormat="1" x14ac:dyDescent="0.25">
      <c r="K1711" s="28"/>
      <c r="L1711" s="28"/>
      <c r="N1711" s="22"/>
      <c r="O1711" s="22"/>
      <c r="P1711" s="22"/>
    </row>
    <row r="1712" spans="11:16" s="1" customFormat="1" x14ac:dyDescent="0.25">
      <c r="K1712" s="28"/>
      <c r="L1712" s="28"/>
      <c r="N1712" s="22"/>
      <c r="O1712" s="22"/>
      <c r="P1712" s="22"/>
    </row>
    <row r="1713" spans="11:16" s="1" customFormat="1" x14ac:dyDescent="0.25">
      <c r="K1713" s="28"/>
      <c r="L1713" s="28"/>
      <c r="N1713" s="22"/>
      <c r="O1713" s="22"/>
      <c r="P1713" s="22"/>
    </row>
    <row r="1714" spans="11:16" s="1" customFormat="1" x14ac:dyDescent="0.25">
      <c r="K1714" s="28"/>
      <c r="L1714" s="28"/>
      <c r="N1714" s="22"/>
      <c r="O1714" s="22"/>
      <c r="P1714" s="22"/>
    </row>
    <row r="1715" spans="11:16" s="1" customFormat="1" x14ac:dyDescent="0.25">
      <c r="K1715" s="28"/>
      <c r="L1715" s="28"/>
      <c r="N1715" s="22"/>
      <c r="O1715" s="22"/>
      <c r="P1715" s="22"/>
    </row>
    <row r="1716" spans="11:16" s="1" customFormat="1" x14ac:dyDescent="0.25">
      <c r="K1716" s="28"/>
      <c r="L1716" s="28"/>
      <c r="N1716" s="22"/>
      <c r="O1716" s="22"/>
      <c r="P1716" s="22"/>
    </row>
    <row r="1717" spans="11:16" s="1" customFormat="1" x14ac:dyDescent="0.25">
      <c r="K1717" s="28"/>
      <c r="L1717" s="28"/>
      <c r="N1717" s="22"/>
      <c r="O1717" s="22"/>
      <c r="P1717" s="22"/>
    </row>
    <row r="1718" spans="11:16" s="1" customFormat="1" x14ac:dyDescent="0.25">
      <c r="K1718" s="28"/>
      <c r="L1718" s="28"/>
      <c r="N1718" s="22"/>
      <c r="O1718" s="22"/>
      <c r="P1718" s="22"/>
    </row>
    <row r="1719" spans="11:16" s="1" customFormat="1" x14ac:dyDescent="0.25">
      <c r="K1719" s="28"/>
      <c r="L1719" s="28"/>
      <c r="N1719" s="22"/>
      <c r="O1719" s="22"/>
      <c r="P1719" s="22"/>
    </row>
    <row r="1720" spans="11:16" s="1" customFormat="1" x14ac:dyDescent="0.25">
      <c r="K1720" s="28"/>
      <c r="L1720" s="28"/>
      <c r="N1720" s="22"/>
      <c r="O1720" s="22"/>
      <c r="P1720" s="22"/>
    </row>
    <row r="1721" spans="11:16" s="1" customFormat="1" x14ac:dyDescent="0.25">
      <c r="K1721" s="28"/>
      <c r="L1721" s="28"/>
      <c r="N1721" s="22"/>
      <c r="O1721" s="22"/>
      <c r="P1721" s="22"/>
    </row>
    <row r="1722" spans="11:16" s="1" customFormat="1" x14ac:dyDescent="0.25">
      <c r="K1722" s="28"/>
      <c r="L1722" s="28"/>
      <c r="N1722" s="22"/>
      <c r="O1722" s="22"/>
      <c r="P1722" s="22"/>
    </row>
    <row r="1723" spans="11:16" s="1" customFormat="1" x14ac:dyDescent="0.25">
      <c r="K1723" s="28"/>
      <c r="L1723" s="28"/>
      <c r="N1723" s="22"/>
      <c r="O1723" s="22"/>
      <c r="P1723" s="22"/>
    </row>
    <row r="1724" spans="11:16" s="1" customFormat="1" x14ac:dyDescent="0.25">
      <c r="K1724" s="28"/>
      <c r="L1724" s="28"/>
      <c r="N1724" s="22"/>
      <c r="O1724" s="22"/>
      <c r="P1724" s="22"/>
    </row>
    <row r="1725" spans="11:16" s="1" customFormat="1" x14ac:dyDescent="0.25">
      <c r="K1725" s="28"/>
      <c r="L1725" s="28"/>
      <c r="N1725" s="22"/>
      <c r="O1725" s="22"/>
      <c r="P1725" s="22"/>
    </row>
    <row r="1726" spans="11:16" s="1" customFormat="1" x14ac:dyDescent="0.25">
      <c r="K1726" s="28"/>
      <c r="L1726" s="28"/>
      <c r="N1726" s="22"/>
      <c r="O1726" s="22"/>
      <c r="P1726" s="22"/>
    </row>
    <row r="1727" spans="11:16" s="1" customFormat="1" x14ac:dyDescent="0.25">
      <c r="K1727" s="28"/>
      <c r="L1727" s="28"/>
      <c r="N1727" s="22"/>
      <c r="O1727" s="22"/>
      <c r="P1727" s="22"/>
    </row>
    <row r="1728" spans="11:16" s="1" customFormat="1" x14ac:dyDescent="0.25">
      <c r="K1728" s="28"/>
      <c r="L1728" s="28"/>
      <c r="N1728" s="22"/>
      <c r="O1728" s="22"/>
      <c r="P1728" s="22"/>
    </row>
    <row r="1729" spans="11:16" s="1" customFormat="1" x14ac:dyDescent="0.25">
      <c r="K1729" s="28"/>
      <c r="L1729" s="28"/>
      <c r="N1729" s="22"/>
      <c r="O1729" s="22"/>
      <c r="P1729" s="22"/>
    </row>
    <row r="1730" spans="11:16" s="1" customFormat="1" x14ac:dyDescent="0.25">
      <c r="K1730" s="28"/>
      <c r="L1730" s="28"/>
      <c r="N1730" s="22"/>
      <c r="O1730" s="22"/>
      <c r="P1730" s="22"/>
    </row>
    <row r="1731" spans="11:16" s="1" customFormat="1" x14ac:dyDescent="0.25">
      <c r="K1731" s="28"/>
      <c r="L1731" s="28"/>
      <c r="N1731" s="22"/>
      <c r="O1731" s="22"/>
      <c r="P1731" s="22"/>
    </row>
    <row r="1732" spans="11:16" s="1" customFormat="1" x14ac:dyDescent="0.25">
      <c r="K1732" s="28"/>
      <c r="L1732" s="28"/>
      <c r="N1732" s="22"/>
      <c r="O1732" s="22"/>
      <c r="P1732" s="22"/>
    </row>
    <row r="1733" spans="11:16" s="1" customFormat="1" x14ac:dyDescent="0.25">
      <c r="K1733" s="28"/>
      <c r="L1733" s="28"/>
      <c r="N1733" s="22"/>
      <c r="O1733" s="22"/>
      <c r="P1733" s="22"/>
    </row>
    <row r="1734" spans="11:16" s="1" customFormat="1" x14ac:dyDescent="0.25">
      <c r="K1734" s="28"/>
      <c r="L1734" s="28"/>
      <c r="N1734" s="22"/>
      <c r="O1734" s="22"/>
      <c r="P1734" s="22"/>
    </row>
    <row r="1735" spans="11:16" s="1" customFormat="1" x14ac:dyDescent="0.25">
      <c r="K1735" s="28"/>
      <c r="L1735" s="28"/>
      <c r="N1735" s="22"/>
      <c r="O1735" s="22"/>
      <c r="P1735" s="22"/>
    </row>
    <row r="1736" spans="11:16" s="1" customFormat="1" x14ac:dyDescent="0.25">
      <c r="K1736" s="28"/>
      <c r="L1736" s="28"/>
      <c r="N1736" s="22"/>
      <c r="O1736" s="22"/>
      <c r="P1736" s="22"/>
    </row>
    <row r="1737" spans="11:16" s="1" customFormat="1" x14ac:dyDescent="0.25">
      <c r="K1737" s="28"/>
      <c r="L1737" s="28"/>
      <c r="N1737" s="22"/>
      <c r="O1737" s="22"/>
      <c r="P1737" s="22"/>
    </row>
    <row r="1738" spans="11:16" s="1" customFormat="1" x14ac:dyDescent="0.25">
      <c r="K1738" s="28"/>
      <c r="L1738" s="28"/>
      <c r="N1738" s="22"/>
      <c r="O1738" s="22"/>
      <c r="P1738" s="22"/>
    </row>
    <row r="1739" spans="11:16" s="1" customFormat="1" x14ac:dyDescent="0.25">
      <c r="K1739" s="28"/>
      <c r="L1739" s="28"/>
      <c r="N1739" s="22"/>
      <c r="O1739" s="22"/>
      <c r="P1739" s="22"/>
    </row>
    <row r="1740" spans="11:16" s="1" customFormat="1" x14ac:dyDescent="0.25">
      <c r="K1740" s="28"/>
      <c r="L1740" s="28"/>
      <c r="N1740" s="22"/>
      <c r="O1740" s="22"/>
      <c r="P1740" s="22"/>
    </row>
    <row r="1741" spans="11:16" s="1" customFormat="1" x14ac:dyDescent="0.25">
      <c r="K1741" s="28"/>
      <c r="L1741" s="28"/>
      <c r="N1741" s="22"/>
      <c r="O1741" s="22"/>
      <c r="P1741" s="22"/>
    </row>
    <row r="1742" spans="11:16" s="1" customFormat="1" x14ac:dyDescent="0.25">
      <c r="K1742" s="28"/>
      <c r="L1742" s="28"/>
      <c r="N1742" s="22"/>
      <c r="O1742" s="22"/>
      <c r="P1742" s="22"/>
    </row>
    <row r="1743" spans="11:16" s="1" customFormat="1" x14ac:dyDescent="0.25">
      <c r="K1743" s="28"/>
      <c r="L1743" s="28"/>
      <c r="N1743" s="22"/>
      <c r="O1743" s="22"/>
      <c r="P1743" s="22"/>
    </row>
    <row r="1744" spans="11:16" s="1" customFormat="1" x14ac:dyDescent="0.25">
      <c r="K1744" s="28"/>
      <c r="L1744" s="28"/>
      <c r="N1744" s="22"/>
      <c r="O1744" s="22"/>
      <c r="P1744" s="22"/>
    </row>
    <row r="1745" spans="11:16" s="1" customFormat="1" x14ac:dyDescent="0.25">
      <c r="K1745" s="28"/>
      <c r="L1745" s="28"/>
      <c r="N1745" s="22"/>
      <c r="O1745" s="22"/>
      <c r="P1745" s="22"/>
    </row>
    <row r="1746" spans="11:16" s="1" customFormat="1" x14ac:dyDescent="0.25">
      <c r="K1746" s="28"/>
      <c r="L1746" s="28"/>
      <c r="N1746" s="22"/>
      <c r="O1746" s="22"/>
      <c r="P1746" s="22"/>
    </row>
    <row r="1747" spans="11:16" s="1" customFormat="1" x14ac:dyDescent="0.25">
      <c r="K1747" s="28"/>
      <c r="L1747" s="28"/>
      <c r="N1747" s="22"/>
      <c r="O1747" s="22"/>
      <c r="P1747" s="22"/>
    </row>
    <row r="1748" spans="11:16" s="1" customFormat="1" x14ac:dyDescent="0.25">
      <c r="K1748" s="28"/>
      <c r="L1748" s="28"/>
      <c r="N1748" s="22"/>
      <c r="O1748" s="22"/>
      <c r="P1748" s="22"/>
    </row>
    <row r="1749" spans="11:16" s="1" customFormat="1" x14ac:dyDescent="0.25">
      <c r="K1749" s="28"/>
      <c r="L1749" s="28"/>
      <c r="N1749" s="22"/>
      <c r="O1749" s="22"/>
      <c r="P1749" s="22"/>
    </row>
    <row r="1750" spans="11:16" s="1" customFormat="1" x14ac:dyDescent="0.25">
      <c r="K1750" s="28"/>
      <c r="L1750" s="28"/>
      <c r="N1750" s="22"/>
      <c r="O1750" s="22"/>
      <c r="P1750" s="22"/>
    </row>
    <row r="1751" spans="11:16" s="1" customFormat="1" x14ac:dyDescent="0.25">
      <c r="K1751" s="28"/>
      <c r="L1751" s="28"/>
      <c r="N1751" s="22"/>
      <c r="O1751" s="22"/>
      <c r="P1751" s="22"/>
    </row>
    <row r="1752" spans="11:16" s="1" customFormat="1" x14ac:dyDescent="0.25">
      <c r="K1752" s="28"/>
      <c r="L1752" s="28"/>
      <c r="N1752" s="22"/>
      <c r="O1752" s="22"/>
      <c r="P1752" s="22"/>
    </row>
    <row r="1753" spans="11:16" s="1" customFormat="1" x14ac:dyDescent="0.25">
      <c r="K1753" s="28"/>
      <c r="L1753" s="28"/>
      <c r="N1753" s="22"/>
      <c r="O1753" s="22"/>
      <c r="P1753" s="22"/>
    </row>
    <row r="1754" spans="11:16" s="1" customFormat="1" x14ac:dyDescent="0.25">
      <c r="K1754" s="28"/>
      <c r="L1754" s="28"/>
      <c r="N1754" s="22"/>
      <c r="O1754" s="22"/>
      <c r="P1754" s="22"/>
    </row>
    <row r="1755" spans="11:16" s="1" customFormat="1" x14ac:dyDescent="0.25">
      <c r="K1755" s="28"/>
      <c r="L1755" s="28"/>
      <c r="N1755" s="22"/>
      <c r="O1755" s="22"/>
      <c r="P1755" s="22"/>
    </row>
    <row r="1756" spans="11:16" s="1" customFormat="1" x14ac:dyDescent="0.25">
      <c r="K1756" s="28"/>
      <c r="L1756" s="28"/>
      <c r="N1756" s="22"/>
      <c r="O1756" s="22"/>
      <c r="P1756" s="22"/>
    </row>
    <row r="1757" spans="11:16" s="1" customFormat="1" x14ac:dyDescent="0.25">
      <c r="K1757" s="28"/>
      <c r="L1757" s="28"/>
      <c r="N1757" s="22"/>
      <c r="O1757" s="22"/>
      <c r="P1757" s="22"/>
    </row>
    <row r="1758" spans="11:16" s="1" customFormat="1" x14ac:dyDescent="0.25">
      <c r="K1758" s="28"/>
      <c r="L1758" s="28"/>
      <c r="N1758" s="22"/>
      <c r="O1758" s="22"/>
      <c r="P1758" s="22"/>
    </row>
    <row r="1759" spans="11:16" s="1" customFormat="1" x14ac:dyDescent="0.25">
      <c r="K1759" s="28"/>
      <c r="L1759" s="28"/>
      <c r="N1759" s="22"/>
      <c r="O1759" s="22"/>
      <c r="P1759" s="22"/>
    </row>
    <row r="1760" spans="11:16" s="1" customFormat="1" x14ac:dyDescent="0.25">
      <c r="K1760" s="28"/>
      <c r="L1760" s="28"/>
      <c r="N1760" s="22"/>
      <c r="O1760" s="22"/>
      <c r="P1760" s="22"/>
    </row>
    <row r="1761" spans="11:16" s="1" customFormat="1" x14ac:dyDescent="0.25">
      <c r="K1761" s="28"/>
      <c r="L1761" s="28"/>
      <c r="N1761" s="22"/>
      <c r="O1761" s="22"/>
      <c r="P1761" s="22"/>
    </row>
    <row r="1762" spans="11:16" s="1" customFormat="1" x14ac:dyDescent="0.25">
      <c r="K1762" s="28"/>
      <c r="L1762" s="28"/>
      <c r="N1762" s="22"/>
      <c r="O1762" s="22"/>
      <c r="P1762" s="22"/>
    </row>
    <row r="1763" spans="11:16" s="1" customFormat="1" x14ac:dyDescent="0.25">
      <c r="K1763" s="28"/>
      <c r="L1763" s="28"/>
      <c r="N1763" s="22"/>
      <c r="O1763" s="22"/>
      <c r="P1763" s="22"/>
    </row>
    <row r="1764" spans="11:16" s="1" customFormat="1" x14ac:dyDescent="0.25">
      <c r="K1764" s="28"/>
      <c r="L1764" s="28"/>
      <c r="N1764" s="22"/>
      <c r="O1764" s="22"/>
      <c r="P1764" s="22"/>
    </row>
    <row r="1765" spans="11:16" s="1" customFormat="1" x14ac:dyDescent="0.25">
      <c r="K1765" s="28"/>
      <c r="L1765" s="28"/>
      <c r="N1765" s="22"/>
      <c r="O1765" s="22"/>
      <c r="P1765" s="22"/>
    </row>
    <row r="1766" spans="11:16" s="1" customFormat="1" x14ac:dyDescent="0.25">
      <c r="K1766" s="28"/>
      <c r="L1766" s="28"/>
      <c r="N1766" s="22"/>
      <c r="O1766" s="22"/>
      <c r="P1766" s="22"/>
    </row>
    <row r="1767" spans="11:16" s="1" customFormat="1" x14ac:dyDescent="0.25">
      <c r="K1767" s="28"/>
      <c r="L1767" s="28"/>
      <c r="N1767" s="22"/>
      <c r="O1767" s="22"/>
      <c r="P1767" s="22"/>
    </row>
    <row r="1768" spans="11:16" s="1" customFormat="1" x14ac:dyDescent="0.25">
      <c r="K1768" s="28"/>
      <c r="L1768" s="28"/>
      <c r="N1768" s="22"/>
      <c r="O1768" s="22"/>
      <c r="P1768" s="22"/>
    </row>
    <row r="1769" spans="11:16" s="1" customFormat="1" x14ac:dyDescent="0.25">
      <c r="K1769" s="28"/>
      <c r="L1769" s="28"/>
      <c r="N1769" s="22"/>
      <c r="O1769" s="22"/>
      <c r="P1769" s="22"/>
    </row>
    <row r="1770" spans="11:16" s="1" customFormat="1" x14ac:dyDescent="0.25">
      <c r="K1770" s="28"/>
      <c r="L1770" s="28"/>
      <c r="N1770" s="22"/>
      <c r="O1770" s="22"/>
      <c r="P1770" s="22"/>
    </row>
    <row r="1771" spans="11:16" s="1" customFormat="1" x14ac:dyDescent="0.25">
      <c r="K1771" s="28"/>
      <c r="L1771" s="28"/>
      <c r="N1771" s="22"/>
      <c r="O1771" s="22"/>
      <c r="P1771" s="22"/>
    </row>
    <row r="1772" spans="11:16" s="1" customFormat="1" x14ac:dyDescent="0.25">
      <c r="K1772" s="28"/>
      <c r="L1772" s="28"/>
      <c r="N1772" s="22"/>
      <c r="O1772" s="22"/>
      <c r="P1772" s="22"/>
    </row>
    <row r="1773" spans="11:16" s="1" customFormat="1" x14ac:dyDescent="0.25">
      <c r="K1773" s="28"/>
      <c r="L1773" s="28"/>
      <c r="N1773" s="22"/>
      <c r="O1773" s="22"/>
      <c r="P1773" s="22"/>
    </row>
    <row r="1774" spans="11:16" s="1" customFormat="1" x14ac:dyDescent="0.25">
      <c r="K1774" s="28"/>
      <c r="L1774" s="28"/>
      <c r="N1774" s="22"/>
      <c r="O1774" s="22"/>
      <c r="P1774" s="22"/>
    </row>
    <row r="1775" spans="11:16" s="1" customFormat="1" x14ac:dyDescent="0.25">
      <c r="K1775" s="28"/>
      <c r="L1775" s="28"/>
      <c r="N1775" s="22"/>
      <c r="O1775" s="22"/>
      <c r="P1775" s="22"/>
    </row>
    <row r="1776" spans="11:16" s="1" customFormat="1" x14ac:dyDescent="0.25">
      <c r="K1776" s="28"/>
      <c r="L1776" s="28"/>
      <c r="N1776" s="22"/>
      <c r="O1776" s="22"/>
      <c r="P1776" s="22"/>
    </row>
    <row r="1777" spans="11:16" s="1" customFormat="1" x14ac:dyDescent="0.25">
      <c r="K1777" s="28"/>
      <c r="L1777" s="28"/>
      <c r="N1777" s="22"/>
      <c r="O1777" s="22"/>
      <c r="P1777" s="22"/>
    </row>
    <row r="1778" spans="11:16" s="1" customFormat="1" x14ac:dyDescent="0.25">
      <c r="K1778" s="28"/>
      <c r="L1778" s="28"/>
      <c r="N1778" s="22"/>
      <c r="O1778" s="22"/>
      <c r="P1778" s="22"/>
    </row>
    <row r="1779" spans="11:16" s="1" customFormat="1" x14ac:dyDescent="0.25">
      <c r="K1779" s="28"/>
      <c r="L1779" s="28"/>
      <c r="N1779" s="22"/>
      <c r="O1779" s="22"/>
      <c r="P1779" s="22"/>
    </row>
    <row r="1780" spans="11:16" s="1" customFormat="1" x14ac:dyDescent="0.25">
      <c r="K1780" s="28"/>
      <c r="L1780" s="28"/>
      <c r="N1780" s="22"/>
      <c r="O1780" s="22"/>
      <c r="P1780" s="22"/>
    </row>
    <row r="1781" spans="11:16" s="1" customFormat="1" x14ac:dyDescent="0.25">
      <c r="K1781" s="28"/>
      <c r="L1781" s="28"/>
      <c r="N1781" s="22"/>
      <c r="O1781" s="22"/>
      <c r="P1781" s="22"/>
    </row>
    <row r="1782" spans="11:16" s="1" customFormat="1" x14ac:dyDescent="0.25">
      <c r="K1782" s="28"/>
      <c r="L1782" s="28"/>
      <c r="N1782" s="22"/>
      <c r="O1782" s="22"/>
      <c r="P1782" s="22"/>
    </row>
    <row r="1783" spans="11:16" s="1" customFormat="1" x14ac:dyDescent="0.25">
      <c r="K1783" s="28"/>
      <c r="L1783" s="28"/>
      <c r="N1783" s="22"/>
      <c r="O1783" s="22"/>
      <c r="P1783" s="22"/>
    </row>
    <row r="1784" spans="11:16" s="1" customFormat="1" x14ac:dyDescent="0.25">
      <c r="K1784" s="28"/>
      <c r="L1784" s="28"/>
      <c r="N1784" s="22"/>
      <c r="O1784" s="22"/>
      <c r="P1784" s="22"/>
    </row>
    <row r="1785" spans="11:16" s="1" customFormat="1" x14ac:dyDescent="0.25">
      <c r="K1785" s="28"/>
      <c r="L1785" s="28"/>
      <c r="N1785" s="22"/>
      <c r="O1785" s="22"/>
      <c r="P1785" s="22"/>
    </row>
    <row r="1786" spans="11:16" s="1" customFormat="1" x14ac:dyDescent="0.25">
      <c r="K1786" s="28"/>
      <c r="L1786" s="28"/>
      <c r="N1786" s="22"/>
      <c r="O1786" s="22"/>
      <c r="P1786" s="22"/>
    </row>
    <row r="1787" spans="11:16" s="1" customFormat="1" x14ac:dyDescent="0.25">
      <c r="K1787" s="28"/>
      <c r="L1787" s="28"/>
      <c r="N1787" s="22"/>
      <c r="O1787" s="22"/>
      <c r="P1787" s="22"/>
    </row>
    <row r="1788" spans="11:16" s="1" customFormat="1" x14ac:dyDescent="0.25">
      <c r="K1788" s="28"/>
      <c r="L1788" s="28"/>
      <c r="N1788" s="22"/>
      <c r="O1788" s="22"/>
      <c r="P1788" s="22"/>
    </row>
    <row r="1789" spans="11:16" s="1" customFormat="1" x14ac:dyDescent="0.25">
      <c r="K1789" s="28"/>
      <c r="L1789" s="28"/>
      <c r="N1789" s="22"/>
      <c r="O1789" s="22"/>
      <c r="P1789" s="22"/>
    </row>
    <row r="1790" spans="11:16" s="1" customFormat="1" x14ac:dyDescent="0.25">
      <c r="K1790" s="28"/>
      <c r="L1790" s="28"/>
      <c r="N1790" s="22"/>
      <c r="O1790" s="22"/>
      <c r="P1790" s="22"/>
    </row>
    <row r="1791" spans="11:16" s="1" customFormat="1" x14ac:dyDescent="0.25">
      <c r="K1791" s="28"/>
      <c r="L1791" s="28"/>
      <c r="N1791" s="22"/>
      <c r="O1791" s="22"/>
      <c r="P1791" s="22"/>
    </row>
    <row r="1792" spans="11:16" s="1" customFormat="1" x14ac:dyDescent="0.25">
      <c r="K1792" s="28"/>
      <c r="L1792" s="28"/>
      <c r="N1792" s="22"/>
      <c r="O1792" s="22"/>
      <c r="P1792" s="22"/>
    </row>
    <row r="1793" spans="11:16" s="1" customFormat="1" x14ac:dyDescent="0.25">
      <c r="K1793" s="28"/>
      <c r="L1793" s="28"/>
      <c r="N1793" s="22"/>
      <c r="O1793" s="22"/>
      <c r="P1793" s="22"/>
    </row>
    <row r="1794" spans="11:16" s="1" customFormat="1" x14ac:dyDescent="0.25">
      <c r="K1794" s="28"/>
      <c r="L1794" s="28"/>
      <c r="N1794" s="22"/>
      <c r="O1794" s="22"/>
      <c r="P1794" s="22"/>
    </row>
    <row r="1795" spans="11:16" s="1" customFormat="1" x14ac:dyDescent="0.25">
      <c r="K1795" s="28"/>
      <c r="L1795" s="28"/>
      <c r="N1795" s="22"/>
      <c r="O1795" s="22"/>
      <c r="P1795" s="22"/>
    </row>
    <row r="1796" spans="11:16" s="1" customFormat="1" x14ac:dyDescent="0.25">
      <c r="K1796" s="28"/>
      <c r="L1796" s="28"/>
      <c r="N1796" s="22"/>
      <c r="O1796" s="22"/>
      <c r="P1796" s="22"/>
    </row>
    <row r="1797" spans="11:16" s="1" customFormat="1" x14ac:dyDescent="0.25">
      <c r="K1797" s="28"/>
      <c r="L1797" s="28"/>
      <c r="N1797" s="22"/>
      <c r="O1797" s="22"/>
      <c r="P1797" s="22"/>
    </row>
    <row r="1798" spans="11:16" s="1" customFormat="1" x14ac:dyDescent="0.25">
      <c r="K1798" s="28"/>
      <c r="L1798" s="28"/>
      <c r="N1798" s="22"/>
      <c r="O1798" s="22"/>
      <c r="P1798" s="22"/>
    </row>
    <row r="1799" spans="11:16" s="1" customFormat="1" x14ac:dyDescent="0.25">
      <c r="K1799" s="28"/>
      <c r="L1799" s="28"/>
      <c r="N1799" s="22"/>
      <c r="O1799" s="22"/>
      <c r="P1799" s="22"/>
    </row>
    <row r="1800" spans="11:16" s="1" customFormat="1" x14ac:dyDescent="0.25">
      <c r="K1800" s="28"/>
      <c r="L1800" s="28"/>
      <c r="N1800" s="22"/>
      <c r="O1800" s="22"/>
      <c r="P1800" s="22"/>
    </row>
    <row r="1801" spans="11:16" s="1" customFormat="1" x14ac:dyDescent="0.25">
      <c r="K1801" s="28"/>
      <c r="L1801" s="28"/>
      <c r="N1801" s="22"/>
      <c r="O1801" s="22"/>
      <c r="P1801" s="22"/>
    </row>
    <row r="1802" spans="11:16" s="1" customFormat="1" x14ac:dyDescent="0.25">
      <c r="K1802" s="28"/>
      <c r="L1802" s="28"/>
      <c r="N1802" s="22"/>
      <c r="O1802" s="22"/>
      <c r="P1802" s="22"/>
    </row>
    <row r="1803" spans="11:16" s="1" customFormat="1" x14ac:dyDescent="0.25">
      <c r="K1803" s="28"/>
      <c r="L1803" s="28"/>
      <c r="N1803" s="22"/>
      <c r="O1803" s="22"/>
      <c r="P1803" s="22"/>
    </row>
    <row r="1804" spans="11:16" s="1" customFormat="1" x14ac:dyDescent="0.25">
      <c r="K1804" s="28"/>
      <c r="L1804" s="28"/>
      <c r="N1804" s="22"/>
      <c r="O1804" s="22"/>
      <c r="P1804" s="22"/>
    </row>
    <row r="1805" spans="11:16" s="1" customFormat="1" x14ac:dyDescent="0.25">
      <c r="K1805" s="28"/>
      <c r="L1805" s="28"/>
      <c r="N1805" s="22"/>
      <c r="O1805" s="22"/>
      <c r="P1805" s="22"/>
    </row>
    <row r="1806" spans="11:16" s="1" customFormat="1" x14ac:dyDescent="0.25">
      <c r="K1806" s="28"/>
      <c r="L1806" s="28"/>
      <c r="N1806" s="22"/>
      <c r="O1806" s="22"/>
      <c r="P1806" s="22"/>
    </row>
    <row r="1807" spans="11:16" s="1" customFormat="1" x14ac:dyDescent="0.25">
      <c r="K1807" s="28"/>
      <c r="L1807" s="28"/>
      <c r="N1807" s="22"/>
      <c r="O1807" s="22"/>
      <c r="P1807" s="22"/>
    </row>
    <row r="1808" spans="11:16" s="1" customFormat="1" x14ac:dyDescent="0.25">
      <c r="K1808" s="28"/>
      <c r="L1808" s="28"/>
      <c r="N1808" s="22"/>
      <c r="O1808" s="22"/>
      <c r="P1808" s="22"/>
    </row>
    <row r="1809" spans="11:16" s="1" customFormat="1" x14ac:dyDescent="0.25">
      <c r="K1809" s="28"/>
      <c r="L1809" s="28"/>
      <c r="N1809" s="22"/>
      <c r="O1809" s="22"/>
      <c r="P1809" s="22"/>
    </row>
    <row r="1810" spans="11:16" s="1" customFormat="1" x14ac:dyDescent="0.25">
      <c r="K1810" s="28"/>
      <c r="L1810" s="28"/>
      <c r="N1810" s="22"/>
      <c r="O1810" s="22"/>
      <c r="P1810" s="22"/>
    </row>
    <row r="1811" spans="11:16" s="1" customFormat="1" x14ac:dyDescent="0.25">
      <c r="K1811" s="28"/>
      <c r="L1811" s="28"/>
      <c r="N1811" s="22"/>
      <c r="O1811" s="22"/>
      <c r="P1811" s="22"/>
    </row>
    <row r="1812" spans="11:16" s="1" customFormat="1" x14ac:dyDescent="0.25">
      <c r="K1812" s="28"/>
      <c r="L1812" s="28"/>
      <c r="N1812" s="22"/>
      <c r="O1812" s="22"/>
      <c r="P1812" s="22"/>
    </row>
    <row r="1813" spans="11:16" s="1" customFormat="1" x14ac:dyDescent="0.25">
      <c r="K1813" s="28"/>
      <c r="L1813" s="28"/>
      <c r="N1813" s="22"/>
      <c r="O1813" s="22"/>
      <c r="P1813" s="22"/>
    </row>
    <row r="1814" spans="11:16" s="1" customFormat="1" x14ac:dyDescent="0.25">
      <c r="K1814" s="28"/>
      <c r="L1814" s="28"/>
      <c r="N1814" s="22"/>
      <c r="O1814" s="22"/>
      <c r="P1814" s="22"/>
    </row>
    <row r="1815" spans="11:16" s="1" customFormat="1" x14ac:dyDescent="0.25">
      <c r="K1815" s="28"/>
      <c r="L1815" s="28"/>
      <c r="N1815" s="22"/>
      <c r="O1815" s="22"/>
      <c r="P1815" s="22"/>
    </row>
    <row r="1816" spans="11:16" s="1" customFormat="1" x14ac:dyDescent="0.25">
      <c r="K1816" s="28"/>
      <c r="L1816" s="28"/>
      <c r="N1816" s="22"/>
      <c r="O1816" s="22"/>
      <c r="P1816" s="22"/>
    </row>
    <row r="1817" spans="11:16" s="1" customFormat="1" x14ac:dyDescent="0.25">
      <c r="K1817" s="28"/>
      <c r="L1817" s="28"/>
      <c r="N1817" s="22"/>
      <c r="O1817" s="22"/>
      <c r="P1817" s="22"/>
    </row>
    <row r="1818" spans="11:16" s="1" customFormat="1" x14ac:dyDescent="0.25">
      <c r="K1818" s="28"/>
      <c r="L1818" s="28"/>
      <c r="N1818" s="22"/>
      <c r="O1818" s="22"/>
      <c r="P1818" s="22"/>
    </row>
    <row r="1819" spans="11:16" s="1" customFormat="1" x14ac:dyDescent="0.25">
      <c r="K1819" s="28"/>
      <c r="L1819" s="28"/>
      <c r="N1819" s="22"/>
      <c r="O1819" s="22"/>
      <c r="P1819" s="22"/>
    </row>
    <row r="1820" spans="11:16" s="1" customFormat="1" x14ac:dyDescent="0.25">
      <c r="K1820" s="28"/>
      <c r="L1820" s="28"/>
      <c r="N1820" s="22"/>
      <c r="O1820" s="22"/>
      <c r="P1820" s="22"/>
    </row>
    <row r="1821" spans="11:16" s="1" customFormat="1" x14ac:dyDescent="0.25">
      <c r="K1821" s="28"/>
      <c r="L1821" s="28"/>
      <c r="N1821" s="22"/>
      <c r="O1821" s="22"/>
      <c r="P1821" s="22"/>
    </row>
    <row r="1822" spans="11:16" s="1" customFormat="1" x14ac:dyDescent="0.25">
      <c r="K1822" s="28"/>
      <c r="L1822" s="28"/>
      <c r="N1822" s="22"/>
      <c r="O1822" s="22"/>
      <c r="P1822" s="22"/>
    </row>
    <row r="1823" spans="11:16" s="1" customFormat="1" x14ac:dyDescent="0.25">
      <c r="K1823" s="28"/>
      <c r="L1823" s="28"/>
      <c r="N1823" s="22"/>
      <c r="O1823" s="22"/>
      <c r="P1823" s="22"/>
    </row>
    <row r="1824" spans="11:16" s="1" customFormat="1" x14ac:dyDescent="0.25">
      <c r="K1824" s="28"/>
      <c r="L1824" s="28"/>
      <c r="N1824" s="22"/>
      <c r="O1824" s="22"/>
      <c r="P1824" s="22"/>
    </row>
    <row r="1825" spans="11:16" s="1" customFormat="1" x14ac:dyDescent="0.25">
      <c r="K1825" s="28"/>
      <c r="L1825" s="28"/>
      <c r="N1825" s="22"/>
      <c r="O1825" s="22"/>
      <c r="P1825" s="22"/>
    </row>
    <row r="1826" spans="11:16" s="1" customFormat="1" x14ac:dyDescent="0.25">
      <c r="K1826" s="28"/>
      <c r="L1826" s="28"/>
      <c r="N1826" s="22"/>
      <c r="O1826" s="22"/>
      <c r="P1826" s="22"/>
    </row>
    <row r="1827" spans="11:16" s="1" customFormat="1" x14ac:dyDescent="0.25">
      <c r="K1827" s="28"/>
      <c r="L1827" s="28"/>
      <c r="N1827" s="22"/>
      <c r="O1827" s="22"/>
      <c r="P1827" s="22"/>
    </row>
    <row r="1828" spans="11:16" s="1" customFormat="1" x14ac:dyDescent="0.25">
      <c r="K1828" s="28"/>
      <c r="L1828" s="28"/>
      <c r="N1828" s="22"/>
      <c r="O1828" s="22"/>
      <c r="P1828" s="22"/>
    </row>
    <row r="1829" spans="11:16" s="1" customFormat="1" x14ac:dyDescent="0.25">
      <c r="K1829" s="28"/>
      <c r="L1829" s="28"/>
      <c r="N1829" s="22"/>
      <c r="O1829" s="22"/>
      <c r="P1829" s="22"/>
    </row>
    <row r="1830" spans="11:16" s="1" customFormat="1" x14ac:dyDescent="0.25">
      <c r="K1830" s="28"/>
      <c r="L1830" s="28"/>
      <c r="N1830" s="22"/>
      <c r="O1830" s="22"/>
      <c r="P1830" s="22"/>
    </row>
    <row r="1831" spans="11:16" s="1" customFormat="1" x14ac:dyDescent="0.25">
      <c r="K1831" s="28"/>
      <c r="L1831" s="28"/>
      <c r="N1831" s="22"/>
      <c r="O1831" s="22"/>
      <c r="P1831" s="22"/>
    </row>
    <row r="1832" spans="11:16" s="1" customFormat="1" x14ac:dyDescent="0.25">
      <c r="K1832" s="28"/>
      <c r="L1832" s="28"/>
      <c r="N1832" s="22"/>
      <c r="O1832" s="22"/>
      <c r="P1832" s="22"/>
    </row>
    <row r="1833" spans="11:16" s="1" customFormat="1" x14ac:dyDescent="0.25">
      <c r="K1833" s="28"/>
      <c r="L1833" s="28"/>
      <c r="N1833" s="22"/>
      <c r="O1833" s="22"/>
      <c r="P1833" s="22"/>
    </row>
    <row r="1834" spans="11:16" s="1" customFormat="1" x14ac:dyDescent="0.25">
      <c r="K1834" s="28"/>
      <c r="L1834" s="28"/>
      <c r="N1834" s="22"/>
      <c r="O1834" s="22"/>
      <c r="P1834" s="22"/>
    </row>
    <row r="1835" spans="11:16" s="1" customFormat="1" x14ac:dyDescent="0.25">
      <c r="K1835" s="28"/>
      <c r="L1835" s="28"/>
      <c r="N1835" s="22"/>
      <c r="O1835" s="22"/>
      <c r="P1835" s="22"/>
    </row>
    <row r="1836" spans="11:16" s="1" customFormat="1" x14ac:dyDescent="0.25">
      <c r="K1836" s="28"/>
      <c r="L1836" s="28"/>
      <c r="N1836" s="22"/>
      <c r="O1836" s="22"/>
      <c r="P1836" s="22"/>
    </row>
    <row r="1837" spans="11:16" s="1" customFormat="1" x14ac:dyDescent="0.25">
      <c r="K1837" s="28"/>
      <c r="L1837" s="28"/>
      <c r="N1837" s="22"/>
      <c r="O1837" s="22"/>
      <c r="P1837" s="22"/>
    </row>
    <row r="1838" spans="11:16" s="1" customFormat="1" x14ac:dyDescent="0.25">
      <c r="K1838" s="28"/>
      <c r="L1838" s="28"/>
      <c r="N1838" s="22"/>
      <c r="O1838" s="22"/>
      <c r="P1838" s="22"/>
    </row>
    <row r="1839" spans="11:16" s="1" customFormat="1" x14ac:dyDescent="0.25">
      <c r="K1839" s="28"/>
      <c r="L1839" s="28"/>
      <c r="N1839" s="22"/>
      <c r="O1839" s="22"/>
      <c r="P1839" s="22"/>
    </row>
    <row r="1840" spans="11:16" s="1" customFormat="1" x14ac:dyDescent="0.25">
      <c r="K1840" s="28"/>
      <c r="L1840" s="28"/>
      <c r="N1840" s="22"/>
      <c r="O1840" s="22"/>
      <c r="P1840" s="22"/>
    </row>
    <row r="1841" spans="11:16" s="1" customFormat="1" x14ac:dyDescent="0.25">
      <c r="K1841" s="28"/>
      <c r="L1841" s="28"/>
      <c r="N1841" s="22"/>
      <c r="O1841" s="22"/>
      <c r="P1841" s="22"/>
    </row>
    <row r="1842" spans="11:16" s="1" customFormat="1" x14ac:dyDescent="0.25">
      <c r="K1842" s="28"/>
      <c r="L1842" s="28"/>
      <c r="N1842" s="22"/>
      <c r="O1842" s="22"/>
      <c r="P1842" s="22"/>
    </row>
    <row r="1843" spans="11:16" s="1" customFormat="1" x14ac:dyDescent="0.25">
      <c r="K1843" s="28"/>
      <c r="L1843" s="28"/>
      <c r="N1843" s="22"/>
      <c r="O1843" s="22"/>
      <c r="P1843" s="22"/>
    </row>
    <row r="1844" spans="11:16" s="1" customFormat="1" x14ac:dyDescent="0.25">
      <c r="K1844" s="28"/>
      <c r="L1844" s="28"/>
      <c r="N1844" s="22"/>
      <c r="O1844" s="22"/>
      <c r="P1844" s="22"/>
    </row>
    <row r="1845" spans="11:16" s="1" customFormat="1" x14ac:dyDescent="0.25">
      <c r="K1845" s="28"/>
      <c r="L1845" s="28"/>
      <c r="N1845" s="22"/>
      <c r="O1845" s="22"/>
      <c r="P1845" s="22"/>
    </row>
    <row r="1846" spans="11:16" s="1" customFormat="1" x14ac:dyDescent="0.25">
      <c r="K1846" s="28"/>
      <c r="L1846" s="28"/>
      <c r="N1846" s="22"/>
      <c r="O1846" s="22"/>
      <c r="P1846" s="22"/>
    </row>
    <row r="1847" spans="11:16" s="1" customFormat="1" x14ac:dyDescent="0.25">
      <c r="K1847" s="28"/>
      <c r="L1847" s="28"/>
      <c r="N1847" s="22"/>
      <c r="O1847" s="22"/>
      <c r="P1847" s="22"/>
    </row>
    <row r="1848" spans="11:16" s="1" customFormat="1" x14ac:dyDescent="0.25">
      <c r="K1848" s="28"/>
      <c r="L1848" s="28"/>
      <c r="N1848" s="22"/>
      <c r="O1848" s="22"/>
      <c r="P1848" s="22"/>
    </row>
    <row r="1849" spans="11:16" s="1" customFormat="1" x14ac:dyDescent="0.25">
      <c r="K1849" s="28"/>
      <c r="L1849" s="28"/>
      <c r="N1849" s="22"/>
      <c r="O1849" s="22"/>
      <c r="P1849" s="22"/>
    </row>
    <row r="1850" spans="11:16" s="1" customFormat="1" x14ac:dyDescent="0.25">
      <c r="K1850" s="28"/>
      <c r="L1850" s="28"/>
      <c r="N1850" s="22"/>
      <c r="O1850" s="22"/>
      <c r="P1850" s="22"/>
    </row>
    <row r="1851" spans="11:16" s="1" customFormat="1" x14ac:dyDescent="0.25">
      <c r="K1851" s="28"/>
      <c r="L1851" s="28"/>
      <c r="N1851" s="22"/>
      <c r="O1851" s="22"/>
      <c r="P1851" s="22"/>
    </row>
    <row r="1852" spans="11:16" s="1" customFormat="1" x14ac:dyDescent="0.25">
      <c r="K1852" s="28"/>
      <c r="L1852" s="28"/>
      <c r="N1852" s="22"/>
      <c r="O1852" s="22"/>
      <c r="P1852" s="22"/>
    </row>
    <row r="1853" spans="11:16" s="1" customFormat="1" x14ac:dyDescent="0.25">
      <c r="K1853" s="28"/>
      <c r="L1853" s="28"/>
      <c r="N1853" s="22"/>
      <c r="O1853" s="22"/>
      <c r="P1853" s="22"/>
    </row>
    <row r="1854" spans="11:16" s="1" customFormat="1" x14ac:dyDescent="0.25">
      <c r="K1854" s="28"/>
      <c r="L1854" s="28"/>
      <c r="N1854" s="22"/>
      <c r="O1854" s="22"/>
      <c r="P1854" s="22"/>
    </row>
    <row r="1855" spans="11:16" s="1" customFormat="1" x14ac:dyDescent="0.25">
      <c r="K1855" s="28"/>
      <c r="L1855" s="28"/>
      <c r="N1855" s="22"/>
      <c r="O1855" s="22"/>
      <c r="P1855" s="22"/>
    </row>
    <row r="1856" spans="11:16" s="1" customFormat="1" x14ac:dyDescent="0.25">
      <c r="K1856" s="28"/>
      <c r="L1856" s="28"/>
      <c r="N1856" s="22"/>
      <c r="O1856" s="22"/>
      <c r="P1856" s="22"/>
    </row>
    <row r="1857" spans="11:16" s="1" customFormat="1" x14ac:dyDescent="0.25">
      <c r="K1857" s="28"/>
      <c r="L1857" s="28"/>
      <c r="N1857" s="22"/>
      <c r="O1857" s="22"/>
      <c r="P1857" s="22"/>
    </row>
    <row r="1858" spans="11:16" s="1" customFormat="1" x14ac:dyDescent="0.25">
      <c r="K1858" s="28"/>
      <c r="L1858" s="28"/>
      <c r="N1858" s="22"/>
      <c r="O1858" s="22"/>
      <c r="P1858" s="22"/>
    </row>
    <row r="1859" spans="11:16" s="1" customFormat="1" x14ac:dyDescent="0.25">
      <c r="K1859" s="28"/>
      <c r="L1859" s="28"/>
      <c r="N1859" s="22"/>
      <c r="O1859" s="22"/>
      <c r="P1859" s="22"/>
    </row>
    <row r="1860" spans="11:16" s="1" customFormat="1" x14ac:dyDescent="0.25">
      <c r="K1860" s="28"/>
      <c r="L1860" s="28"/>
      <c r="N1860" s="22"/>
      <c r="O1860" s="22"/>
      <c r="P1860" s="22"/>
    </row>
    <row r="1861" spans="11:16" s="1" customFormat="1" x14ac:dyDescent="0.25">
      <c r="K1861" s="28"/>
      <c r="L1861" s="28"/>
      <c r="N1861" s="22"/>
      <c r="O1861" s="22"/>
      <c r="P1861" s="22"/>
    </row>
    <row r="1862" spans="11:16" s="1" customFormat="1" x14ac:dyDescent="0.25">
      <c r="K1862" s="28"/>
      <c r="L1862" s="28"/>
      <c r="N1862" s="22"/>
      <c r="O1862" s="22"/>
      <c r="P1862" s="22"/>
    </row>
    <row r="1863" spans="11:16" s="1" customFormat="1" x14ac:dyDescent="0.25">
      <c r="K1863" s="28"/>
      <c r="L1863" s="28"/>
      <c r="N1863" s="22"/>
      <c r="O1863" s="22"/>
      <c r="P1863" s="22"/>
    </row>
    <row r="1864" spans="11:16" s="1" customFormat="1" x14ac:dyDescent="0.25">
      <c r="K1864" s="28"/>
      <c r="L1864" s="28"/>
      <c r="N1864" s="22"/>
      <c r="O1864" s="22"/>
      <c r="P1864" s="22"/>
    </row>
    <row r="1865" spans="11:16" s="1" customFormat="1" x14ac:dyDescent="0.25">
      <c r="K1865" s="28"/>
      <c r="L1865" s="28"/>
      <c r="N1865" s="22"/>
      <c r="O1865" s="22"/>
      <c r="P1865" s="22"/>
    </row>
    <row r="1866" spans="11:16" s="1" customFormat="1" x14ac:dyDescent="0.25">
      <c r="K1866" s="28"/>
      <c r="L1866" s="28"/>
      <c r="N1866" s="22"/>
      <c r="O1866" s="22"/>
      <c r="P1866" s="22"/>
    </row>
    <row r="1867" spans="11:16" s="1" customFormat="1" x14ac:dyDescent="0.25">
      <c r="K1867" s="28"/>
      <c r="L1867" s="28"/>
      <c r="N1867" s="22"/>
      <c r="O1867" s="22"/>
      <c r="P1867" s="22"/>
    </row>
    <row r="1868" spans="11:16" s="1" customFormat="1" x14ac:dyDescent="0.25">
      <c r="K1868" s="28"/>
      <c r="L1868" s="28"/>
      <c r="N1868" s="22"/>
      <c r="O1868" s="22"/>
      <c r="P1868" s="22"/>
    </row>
    <row r="1869" spans="11:16" s="1" customFormat="1" x14ac:dyDescent="0.25">
      <c r="K1869" s="28"/>
      <c r="L1869" s="28"/>
      <c r="N1869" s="22"/>
      <c r="O1869" s="22"/>
      <c r="P1869" s="22"/>
    </row>
    <row r="1870" spans="11:16" s="1" customFormat="1" x14ac:dyDescent="0.25">
      <c r="K1870" s="28"/>
      <c r="L1870" s="28"/>
      <c r="N1870" s="22"/>
      <c r="O1870" s="22"/>
      <c r="P1870" s="22"/>
    </row>
    <row r="1871" spans="11:16" s="1" customFormat="1" x14ac:dyDescent="0.25">
      <c r="K1871" s="28"/>
      <c r="L1871" s="28"/>
      <c r="N1871" s="22"/>
      <c r="O1871" s="22"/>
      <c r="P1871" s="22"/>
    </row>
    <row r="1872" spans="11:16" s="1" customFormat="1" x14ac:dyDescent="0.25">
      <c r="K1872" s="28"/>
      <c r="L1872" s="28"/>
      <c r="N1872" s="22"/>
      <c r="O1872" s="22"/>
      <c r="P1872" s="22"/>
    </row>
    <row r="1873" spans="11:16" s="1" customFormat="1" x14ac:dyDescent="0.25">
      <c r="K1873" s="28"/>
      <c r="L1873" s="28"/>
      <c r="N1873" s="22"/>
      <c r="O1873" s="22"/>
      <c r="P1873" s="22"/>
    </row>
    <row r="1874" spans="11:16" s="1" customFormat="1" x14ac:dyDescent="0.25">
      <c r="K1874" s="28"/>
      <c r="L1874" s="28"/>
      <c r="N1874" s="22"/>
      <c r="O1874" s="22"/>
      <c r="P1874" s="22"/>
    </row>
    <row r="1875" spans="11:16" s="1" customFormat="1" x14ac:dyDescent="0.25">
      <c r="K1875" s="28"/>
      <c r="L1875" s="28"/>
      <c r="N1875" s="22"/>
      <c r="O1875" s="22"/>
      <c r="P1875" s="22"/>
    </row>
    <row r="1876" spans="11:16" s="1" customFormat="1" x14ac:dyDescent="0.25">
      <c r="K1876" s="28"/>
      <c r="L1876" s="28"/>
      <c r="N1876" s="22"/>
      <c r="O1876" s="22"/>
      <c r="P1876" s="22"/>
    </row>
    <row r="1877" spans="11:16" s="1" customFormat="1" x14ac:dyDescent="0.25">
      <c r="K1877" s="28"/>
      <c r="L1877" s="28"/>
      <c r="N1877" s="22"/>
      <c r="O1877" s="22"/>
      <c r="P1877" s="22"/>
    </row>
    <row r="1878" spans="11:16" s="1" customFormat="1" x14ac:dyDescent="0.25">
      <c r="K1878" s="28"/>
      <c r="L1878" s="28"/>
      <c r="N1878" s="22"/>
      <c r="O1878" s="22"/>
      <c r="P1878" s="22"/>
    </row>
    <row r="1879" spans="11:16" s="1" customFormat="1" x14ac:dyDescent="0.25">
      <c r="K1879" s="28"/>
      <c r="L1879" s="28"/>
      <c r="N1879" s="22"/>
      <c r="O1879" s="22"/>
      <c r="P1879" s="22"/>
    </row>
    <row r="1880" spans="11:16" s="1" customFormat="1" x14ac:dyDescent="0.25">
      <c r="K1880" s="28"/>
      <c r="L1880" s="28"/>
      <c r="N1880" s="22"/>
      <c r="O1880" s="22"/>
      <c r="P1880" s="22"/>
    </row>
    <row r="1881" spans="11:16" s="1" customFormat="1" x14ac:dyDescent="0.25">
      <c r="K1881" s="28"/>
      <c r="L1881" s="28"/>
      <c r="N1881" s="22"/>
      <c r="O1881" s="22"/>
      <c r="P1881" s="22"/>
    </row>
    <row r="1882" spans="11:16" s="1" customFormat="1" x14ac:dyDescent="0.25">
      <c r="K1882" s="28"/>
      <c r="L1882" s="28"/>
      <c r="N1882" s="22"/>
      <c r="O1882" s="22"/>
      <c r="P1882" s="22"/>
    </row>
    <row r="1883" spans="11:16" s="1" customFormat="1" x14ac:dyDescent="0.25">
      <c r="K1883" s="28"/>
      <c r="L1883" s="28"/>
      <c r="N1883" s="22"/>
      <c r="O1883" s="22"/>
      <c r="P1883" s="22"/>
    </row>
    <row r="1884" spans="11:16" s="1" customFormat="1" x14ac:dyDescent="0.25">
      <c r="K1884" s="28"/>
      <c r="L1884" s="28"/>
      <c r="N1884" s="22"/>
      <c r="O1884" s="22"/>
      <c r="P1884" s="22"/>
    </row>
    <row r="1885" spans="11:16" s="1" customFormat="1" x14ac:dyDescent="0.25">
      <c r="K1885" s="28"/>
      <c r="L1885" s="28"/>
      <c r="N1885" s="22"/>
      <c r="O1885" s="22"/>
      <c r="P1885" s="22"/>
    </row>
    <row r="1886" spans="11:16" s="1" customFormat="1" x14ac:dyDescent="0.25">
      <c r="K1886" s="28"/>
      <c r="L1886" s="28"/>
      <c r="N1886" s="22"/>
      <c r="O1886" s="22"/>
      <c r="P1886" s="22"/>
    </row>
    <row r="1887" spans="11:16" s="1" customFormat="1" x14ac:dyDescent="0.25">
      <c r="K1887" s="28"/>
      <c r="L1887" s="28"/>
      <c r="N1887" s="22"/>
      <c r="O1887" s="22"/>
      <c r="P1887" s="22"/>
    </row>
    <row r="1888" spans="11:16" s="1" customFormat="1" x14ac:dyDescent="0.25">
      <c r="K1888" s="28"/>
      <c r="L1888" s="28"/>
      <c r="N1888" s="22"/>
      <c r="O1888" s="22"/>
      <c r="P1888" s="22"/>
    </row>
    <row r="1889" spans="11:16" s="1" customFormat="1" x14ac:dyDescent="0.25">
      <c r="K1889" s="28"/>
      <c r="L1889" s="28"/>
      <c r="N1889" s="22"/>
      <c r="O1889" s="22"/>
      <c r="P1889" s="22"/>
    </row>
    <row r="1890" spans="11:16" s="1" customFormat="1" x14ac:dyDescent="0.25">
      <c r="K1890" s="28"/>
      <c r="L1890" s="28"/>
      <c r="N1890" s="22"/>
      <c r="O1890" s="22"/>
      <c r="P1890" s="22"/>
    </row>
    <row r="1891" spans="11:16" s="1" customFormat="1" x14ac:dyDescent="0.25">
      <c r="K1891" s="28"/>
      <c r="L1891" s="28"/>
      <c r="N1891" s="22"/>
      <c r="O1891" s="22"/>
      <c r="P1891" s="22"/>
    </row>
    <row r="1892" spans="11:16" s="1" customFormat="1" x14ac:dyDescent="0.25">
      <c r="K1892" s="28"/>
      <c r="L1892" s="28"/>
      <c r="N1892" s="22"/>
      <c r="O1892" s="22"/>
      <c r="P1892" s="22"/>
    </row>
    <row r="1893" spans="11:16" s="1" customFormat="1" x14ac:dyDescent="0.25">
      <c r="K1893" s="28"/>
      <c r="L1893" s="28"/>
      <c r="N1893" s="22"/>
      <c r="O1893" s="22"/>
      <c r="P1893" s="22"/>
    </row>
    <row r="1894" spans="11:16" s="1" customFormat="1" x14ac:dyDescent="0.25">
      <c r="K1894" s="28"/>
      <c r="L1894" s="28"/>
      <c r="N1894" s="22"/>
      <c r="O1894" s="22"/>
      <c r="P1894" s="22"/>
    </row>
    <row r="1895" spans="11:16" s="1" customFormat="1" x14ac:dyDescent="0.25">
      <c r="K1895" s="28"/>
      <c r="L1895" s="28"/>
      <c r="N1895" s="22"/>
      <c r="O1895" s="22"/>
      <c r="P1895" s="22"/>
    </row>
    <row r="1896" spans="11:16" s="1" customFormat="1" x14ac:dyDescent="0.25">
      <c r="K1896" s="28"/>
      <c r="L1896" s="28"/>
      <c r="N1896" s="22"/>
      <c r="O1896" s="22"/>
      <c r="P1896" s="22"/>
    </row>
    <row r="1897" spans="11:16" s="1" customFormat="1" x14ac:dyDescent="0.25">
      <c r="K1897" s="28"/>
      <c r="L1897" s="28"/>
      <c r="N1897" s="22"/>
      <c r="O1897" s="22"/>
      <c r="P1897" s="22"/>
    </row>
    <row r="1898" spans="11:16" s="1" customFormat="1" x14ac:dyDescent="0.25">
      <c r="K1898" s="28"/>
      <c r="L1898" s="28"/>
      <c r="N1898" s="22"/>
      <c r="O1898" s="22"/>
      <c r="P1898" s="22"/>
    </row>
    <row r="1899" spans="11:16" s="1" customFormat="1" x14ac:dyDescent="0.25">
      <c r="K1899" s="28"/>
      <c r="L1899" s="28"/>
      <c r="N1899" s="22"/>
      <c r="O1899" s="22"/>
      <c r="P1899" s="22"/>
    </row>
    <row r="1900" spans="11:16" s="1" customFormat="1" x14ac:dyDescent="0.25">
      <c r="K1900" s="28"/>
      <c r="L1900" s="28"/>
      <c r="N1900" s="22"/>
      <c r="O1900" s="22"/>
      <c r="P1900" s="22"/>
    </row>
    <row r="1901" spans="11:16" s="1" customFormat="1" x14ac:dyDescent="0.25">
      <c r="K1901" s="28"/>
      <c r="L1901" s="28"/>
      <c r="N1901" s="22"/>
      <c r="O1901" s="22"/>
      <c r="P1901" s="22"/>
    </row>
    <row r="1902" spans="11:16" s="1" customFormat="1" x14ac:dyDescent="0.25">
      <c r="K1902" s="28"/>
      <c r="L1902" s="28"/>
      <c r="N1902" s="22"/>
      <c r="O1902" s="22"/>
      <c r="P1902" s="22"/>
    </row>
    <row r="1903" spans="11:16" s="1" customFormat="1" x14ac:dyDescent="0.25">
      <c r="K1903" s="28"/>
      <c r="L1903" s="28"/>
      <c r="N1903" s="22"/>
      <c r="O1903" s="22"/>
      <c r="P1903" s="22"/>
    </row>
    <row r="1904" spans="11:16" s="1" customFormat="1" x14ac:dyDescent="0.25">
      <c r="K1904" s="28"/>
      <c r="L1904" s="28"/>
      <c r="N1904" s="22"/>
      <c r="O1904" s="22"/>
      <c r="P1904" s="22"/>
    </row>
    <row r="1905" spans="11:16" s="1" customFormat="1" x14ac:dyDescent="0.25">
      <c r="K1905" s="28"/>
      <c r="L1905" s="28"/>
      <c r="N1905" s="22"/>
      <c r="O1905" s="22"/>
      <c r="P1905" s="22"/>
    </row>
    <row r="1906" spans="11:16" s="1" customFormat="1" x14ac:dyDescent="0.25">
      <c r="K1906" s="28"/>
      <c r="L1906" s="28"/>
      <c r="N1906" s="22"/>
      <c r="O1906" s="22"/>
      <c r="P1906" s="22"/>
    </row>
    <row r="1907" spans="11:16" s="1" customFormat="1" x14ac:dyDescent="0.25">
      <c r="K1907" s="28"/>
      <c r="L1907" s="28"/>
      <c r="N1907" s="22"/>
      <c r="O1907" s="22"/>
      <c r="P1907" s="22"/>
    </row>
    <row r="1908" spans="11:16" s="1" customFormat="1" x14ac:dyDescent="0.25">
      <c r="K1908" s="28"/>
      <c r="L1908" s="28"/>
      <c r="N1908" s="22"/>
      <c r="O1908" s="22"/>
      <c r="P1908" s="22"/>
    </row>
    <row r="1909" spans="11:16" s="1" customFormat="1" x14ac:dyDescent="0.25">
      <c r="K1909" s="28"/>
      <c r="L1909" s="28"/>
      <c r="N1909" s="22"/>
      <c r="O1909" s="22"/>
      <c r="P1909" s="22"/>
    </row>
    <row r="1910" spans="11:16" s="1" customFormat="1" x14ac:dyDescent="0.25">
      <c r="K1910" s="28"/>
      <c r="L1910" s="28"/>
      <c r="N1910" s="22"/>
      <c r="O1910" s="22"/>
      <c r="P1910" s="22"/>
    </row>
    <row r="1911" spans="11:16" s="1" customFormat="1" x14ac:dyDescent="0.25">
      <c r="K1911" s="28"/>
      <c r="L1911" s="28"/>
      <c r="N1911" s="22"/>
      <c r="O1911" s="22"/>
      <c r="P1911" s="22"/>
    </row>
    <row r="1912" spans="11:16" s="1" customFormat="1" x14ac:dyDescent="0.25">
      <c r="K1912" s="28"/>
      <c r="L1912" s="28"/>
      <c r="N1912" s="22"/>
      <c r="O1912" s="22"/>
      <c r="P1912" s="22"/>
    </row>
    <row r="1913" spans="11:16" s="1" customFormat="1" x14ac:dyDescent="0.25">
      <c r="K1913" s="28"/>
      <c r="L1913" s="28"/>
      <c r="N1913" s="22"/>
      <c r="O1913" s="22"/>
      <c r="P1913" s="22"/>
    </row>
    <row r="1914" spans="11:16" s="1" customFormat="1" x14ac:dyDescent="0.25">
      <c r="K1914" s="28"/>
      <c r="L1914" s="28"/>
      <c r="N1914" s="22"/>
      <c r="O1914" s="22"/>
      <c r="P1914" s="22"/>
    </row>
    <row r="1915" spans="11:16" s="1" customFormat="1" x14ac:dyDescent="0.25">
      <c r="K1915" s="28"/>
      <c r="L1915" s="28"/>
      <c r="N1915" s="22"/>
      <c r="O1915" s="22"/>
      <c r="P1915" s="22"/>
    </row>
    <row r="1916" spans="11:16" s="1" customFormat="1" x14ac:dyDescent="0.25">
      <c r="K1916" s="28"/>
      <c r="L1916" s="28"/>
      <c r="N1916" s="22"/>
      <c r="O1916" s="22"/>
      <c r="P1916" s="22"/>
    </row>
    <row r="1917" spans="11:16" s="1" customFormat="1" x14ac:dyDescent="0.25">
      <c r="K1917" s="28"/>
      <c r="L1917" s="28"/>
      <c r="N1917" s="22"/>
      <c r="O1917" s="22"/>
      <c r="P1917" s="22"/>
    </row>
    <row r="1918" spans="11:16" s="1" customFormat="1" x14ac:dyDescent="0.25">
      <c r="K1918" s="28"/>
      <c r="L1918" s="28"/>
      <c r="N1918" s="22"/>
      <c r="O1918" s="22"/>
      <c r="P1918" s="22"/>
    </row>
    <row r="1919" spans="11:16" s="1" customFormat="1" x14ac:dyDescent="0.25">
      <c r="K1919" s="28"/>
      <c r="L1919" s="28"/>
      <c r="N1919" s="22"/>
      <c r="O1919" s="22"/>
      <c r="P1919" s="22"/>
    </row>
    <row r="1920" spans="11:16" s="1" customFormat="1" x14ac:dyDescent="0.25">
      <c r="K1920" s="28"/>
      <c r="L1920" s="28"/>
      <c r="N1920" s="22"/>
      <c r="O1920" s="22"/>
      <c r="P1920" s="22"/>
    </row>
    <row r="1921" spans="11:16" s="1" customFormat="1" x14ac:dyDescent="0.25">
      <c r="K1921" s="28"/>
      <c r="L1921" s="28"/>
      <c r="N1921" s="22"/>
      <c r="O1921" s="22"/>
      <c r="P1921" s="22"/>
    </row>
    <row r="1922" spans="11:16" s="1" customFormat="1" x14ac:dyDescent="0.25">
      <c r="K1922" s="28"/>
      <c r="L1922" s="28"/>
      <c r="N1922" s="22"/>
      <c r="O1922" s="22"/>
      <c r="P1922" s="22"/>
    </row>
    <row r="1923" spans="11:16" s="1" customFormat="1" x14ac:dyDescent="0.25">
      <c r="K1923" s="28"/>
      <c r="L1923" s="28"/>
      <c r="N1923" s="22"/>
      <c r="O1923" s="22"/>
      <c r="P1923" s="22"/>
    </row>
    <row r="1924" spans="11:16" s="1" customFormat="1" x14ac:dyDescent="0.25">
      <c r="K1924" s="28"/>
      <c r="L1924" s="28"/>
      <c r="N1924" s="22"/>
      <c r="O1924" s="22"/>
      <c r="P1924" s="22"/>
    </row>
    <row r="1925" spans="11:16" s="1" customFormat="1" x14ac:dyDescent="0.25">
      <c r="K1925" s="28"/>
      <c r="L1925" s="28"/>
      <c r="N1925" s="22"/>
      <c r="O1925" s="22"/>
      <c r="P1925" s="22"/>
    </row>
    <row r="1926" spans="11:16" s="1" customFormat="1" x14ac:dyDescent="0.25">
      <c r="K1926" s="28"/>
      <c r="L1926" s="28"/>
      <c r="N1926" s="22"/>
      <c r="O1926" s="22"/>
      <c r="P1926" s="22"/>
    </row>
    <row r="1927" spans="11:16" s="1" customFormat="1" x14ac:dyDescent="0.25">
      <c r="K1927" s="28"/>
      <c r="L1927" s="28"/>
      <c r="N1927" s="22"/>
      <c r="O1927" s="22"/>
      <c r="P1927" s="22"/>
    </row>
    <row r="1928" spans="11:16" s="1" customFormat="1" x14ac:dyDescent="0.25">
      <c r="K1928" s="28"/>
      <c r="L1928" s="28"/>
      <c r="N1928" s="22"/>
      <c r="O1928" s="22"/>
      <c r="P1928" s="22"/>
    </row>
    <row r="1929" spans="11:16" s="1" customFormat="1" x14ac:dyDescent="0.25">
      <c r="K1929" s="28"/>
      <c r="L1929" s="28"/>
      <c r="N1929" s="22"/>
      <c r="O1929" s="22"/>
      <c r="P1929" s="22"/>
    </row>
    <row r="1930" spans="11:16" s="1" customFormat="1" x14ac:dyDescent="0.25">
      <c r="K1930" s="28"/>
      <c r="L1930" s="28"/>
      <c r="N1930" s="22"/>
      <c r="O1930" s="22"/>
      <c r="P1930" s="22"/>
    </row>
    <row r="1931" spans="11:16" s="1" customFormat="1" x14ac:dyDescent="0.25">
      <c r="K1931" s="28"/>
      <c r="L1931" s="28"/>
      <c r="N1931" s="22"/>
      <c r="O1931" s="22"/>
      <c r="P1931" s="22"/>
    </row>
    <row r="1932" spans="11:16" s="1" customFormat="1" x14ac:dyDescent="0.25">
      <c r="K1932" s="28"/>
      <c r="L1932" s="28"/>
      <c r="N1932" s="22"/>
      <c r="O1932" s="22"/>
      <c r="P1932" s="22"/>
    </row>
    <row r="1933" spans="11:16" s="1" customFormat="1" x14ac:dyDescent="0.25">
      <c r="K1933" s="28"/>
      <c r="L1933" s="28"/>
      <c r="N1933" s="22"/>
      <c r="O1933" s="22"/>
      <c r="P1933" s="22"/>
    </row>
    <row r="1934" spans="11:16" s="1" customFormat="1" x14ac:dyDescent="0.25">
      <c r="K1934" s="28"/>
      <c r="L1934" s="28"/>
      <c r="N1934" s="22"/>
      <c r="O1934" s="22"/>
      <c r="P1934" s="22"/>
    </row>
    <row r="1935" spans="11:16" s="1" customFormat="1" x14ac:dyDescent="0.25">
      <c r="K1935" s="28"/>
      <c r="L1935" s="28"/>
      <c r="N1935" s="22"/>
      <c r="O1935" s="22"/>
      <c r="P1935" s="22"/>
    </row>
    <row r="1936" spans="11:16" s="1" customFormat="1" x14ac:dyDescent="0.25">
      <c r="K1936" s="28"/>
      <c r="L1936" s="28"/>
      <c r="N1936" s="22"/>
      <c r="O1936" s="22"/>
      <c r="P1936" s="22"/>
    </row>
    <row r="1937" spans="11:16" s="1" customFormat="1" x14ac:dyDescent="0.25">
      <c r="K1937" s="28"/>
      <c r="L1937" s="28"/>
      <c r="N1937" s="22"/>
      <c r="O1937" s="22"/>
      <c r="P1937" s="22"/>
    </row>
    <row r="1938" spans="11:16" s="1" customFormat="1" x14ac:dyDescent="0.25">
      <c r="K1938" s="28"/>
      <c r="L1938" s="28"/>
      <c r="N1938" s="22"/>
      <c r="O1938" s="22"/>
      <c r="P1938" s="22"/>
    </row>
    <row r="1939" spans="11:16" s="1" customFormat="1" x14ac:dyDescent="0.25">
      <c r="K1939" s="28"/>
      <c r="L1939" s="28"/>
      <c r="N1939" s="22"/>
      <c r="O1939" s="22"/>
      <c r="P1939" s="22"/>
    </row>
    <row r="1940" spans="11:16" s="1" customFormat="1" x14ac:dyDescent="0.25">
      <c r="K1940" s="28"/>
      <c r="L1940" s="28"/>
      <c r="N1940" s="22"/>
      <c r="O1940" s="22"/>
      <c r="P1940" s="22"/>
    </row>
    <row r="1941" spans="11:16" s="1" customFormat="1" x14ac:dyDescent="0.25">
      <c r="K1941" s="28"/>
      <c r="L1941" s="28"/>
      <c r="N1941" s="22"/>
      <c r="O1941" s="22"/>
      <c r="P1941" s="22"/>
    </row>
    <row r="1942" spans="11:16" s="1" customFormat="1" x14ac:dyDescent="0.25">
      <c r="K1942" s="28"/>
      <c r="L1942" s="28"/>
      <c r="N1942" s="22"/>
      <c r="O1942" s="22"/>
      <c r="P1942" s="22"/>
    </row>
    <row r="1943" spans="11:16" s="1" customFormat="1" x14ac:dyDescent="0.25">
      <c r="K1943" s="28"/>
      <c r="L1943" s="28"/>
      <c r="N1943" s="22"/>
      <c r="O1943" s="22"/>
      <c r="P1943" s="22"/>
    </row>
    <row r="1944" spans="11:16" s="1" customFormat="1" x14ac:dyDescent="0.25">
      <c r="K1944" s="28"/>
      <c r="L1944" s="28"/>
      <c r="N1944" s="22"/>
      <c r="O1944" s="22"/>
      <c r="P1944" s="22"/>
    </row>
    <row r="1945" spans="11:16" s="1" customFormat="1" x14ac:dyDescent="0.25">
      <c r="K1945" s="28"/>
      <c r="L1945" s="28"/>
      <c r="N1945" s="22"/>
      <c r="O1945" s="22"/>
      <c r="P1945" s="22"/>
    </row>
    <row r="1946" spans="11:16" s="1" customFormat="1" x14ac:dyDescent="0.25">
      <c r="K1946" s="28"/>
      <c r="L1946" s="28"/>
      <c r="N1946" s="22"/>
      <c r="O1946" s="22"/>
      <c r="P1946" s="22"/>
    </row>
    <row r="1947" spans="11:16" s="1" customFormat="1" x14ac:dyDescent="0.25">
      <c r="K1947" s="28"/>
      <c r="L1947" s="28"/>
      <c r="N1947" s="22"/>
      <c r="O1947" s="22"/>
      <c r="P1947" s="22"/>
    </row>
    <row r="1948" spans="11:16" s="1" customFormat="1" x14ac:dyDescent="0.25">
      <c r="K1948" s="28"/>
      <c r="L1948" s="28"/>
      <c r="N1948" s="22"/>
      <c r="O1948" s="22"/>
      <c r="P1948" s="22"/>
    </row>
    <row r="1949" spans="11:16" s="1" customFormat="1" x14ac:dyDescent="0.25">
      <c r="K1949" s="28"/>
      <c r="L1949" s="28"/>
      <c r="N1949" s="22"/>
      <c r="O1949" s="22"/>
      <c r="P1949" s="22"/>
    </row>
    <row r="1950" spans="11:16" s="1" customFormat="1" x14ac:dyDescent="0.25">
      <c r="K1950" s="28"/>
      <c r="L1950" s="28"/>
      <c r="N1950" s="22"/>
      <c r="O1950" s="22"/>
      <c r="P1950" s="22"/>
    </row>
    <row r="1951" spans="11:16" s="1" customFormat="1" x14ac:dyDescent="0.25">
      <c r="K1951" s="28"/>
      <c r="L1951" s="28"/>
      <c r="N1951" s="22"/>
      <c r="O1951" s="22"/>
      <c r="P1951" s="22"/>
    </row>
    <row r="1952" spans="11:16" s="1" customFormat="1" x14ac:dyDescent="0.25">
      <c r="K1952" s="28"/>
      <c r="L1952" s="28"/>
      <c r="N1952" s="22"/>
      <c r="O1952" s="22"/>
      <c r="P1952" s="22"/>
    </row>
    <row r="1953" spans="11:16" s="1" customFormat="1" x14ac:dyDescent="0.25">
      <c r="K1953" s="28"/>
      <c r="L1953" s="28"/>
      <c r="N1953" s="22"/>
      <c r="O1953" s="22"/>
      <c r="P1953" s="22"/>
    </row>
    <row r="1954" spans="11:16" s="1" customFormat="1" x14ac:dyDescent="0.25">
      <c r="K1954" s="28"/>
      <c r="L1954" s="28"/>
      <c r="N1954" s="22"/>
      <c r="O1954" s="22"/>
      <c r="P1954" s="22"/>
    </row>
    <row r="1955" spans="11:16" s="1" customFormat="1" x14ac:dyDescent="0.25">
      <c r="K1955" s="28"/>
      <c r="L1955" s="28"/>
      <c r="N1955" s="22"/>
      <c r="O1955" s="22"/>
      <c r="P1955" s="22"/>
    </row>
    <row r="1956" spans="11:16" s="1" customFormat="1" x14ac:dyDescent="0.25">
      <c r="K1956" s="28"/>
      <c r="L1956" s="28"/>
      <c r="N1956" s="22"/>
      <c r="O1956" s="22"/>
      <c r="P1956" s="22"/>
    </row>
    <row r="1957" spans="11:16" s="1" customFormat="1" x14ac:dyDescent="0.25">
      <c r="K1957" s="28"/>
      <c r="L1957" s="28"/>
      <c r="N1957" s="22"/>
      <c r="O1957" s="22"/>
      <c r="P1957" s="22"/>
    </row>
    <row r="1958" spans="11:16" s="1" customFormat="1" x14ac:dyDescent="0.25">
      <c r="K1958" s="28"/>
      <c r="L1958" s="28"/>
      <c r="N1958" s="22"/>
      <c r="O1958" s="22"/>
      <c r="P1958" s="22"/>
    </row>
    <row r="1959" spans="11:16" s="1" customFormat="1" x14ac:dyDescent="0.25">
      <c r="K1959" s="28"/>
      <c r="L1959" s="28"/>
      <c r="N1959" s="22"/>
      <c r="O1959" s="22"/>
      <c r="P1959" s="22"/>
    </row>
    <row r="1960" spans="11:16" s="1" customFormat="1" x14ac:dyDescent="0.25">
      <c r="K1960" s="28"/>
      <c r="L1960" s="28"/>
      <c r="N1960" s="22"/>
      <c r="O1960" s="22"/>
      <c r="P1960" s="22"/>
    </row>
    <row r="1961" spans="11:16" s="1" customFormat="1" x14ac:dyDescent="0.25">
      <c r="K1961" s="28"/>
      <c r="L1961" s="28"/>
      <c r="N1961" s="22"/>
      <c r="O1961" s="22"/>
      <c r="P1961" s="22"/>
    </row>
    <row r="1962" spans="11:16" s="1" customFormat="1" x14ac:dyDescent="0.25">
      <c r="K1962" s="28"/>
      <c r="L1962" s="28"/>
      <c r="N1962" s="22"/>
      <c r="O1962" s="22"/>
      <c r="P1962" s="22"/>
    </row>
    <row r="1963" spans="11:16" s="1" customFormat="1" x14ac:dyDescent="0.25">
      <c r="K1963" s="28"/>
      <c r="L1963" s="28"/>
      <c r="N1963" s="22"/>
      <c r="O1963" s="22"/>
      <c r="P1963" s="22"/>
    </row>
    <row r="1964" spans="11:16" s="1" customFormat="1" x14ac:dyDescent="0.25">
      <c r="K1964" s="28"/>
      <c r="L1964" s="28"/>
      <c r="N1964" s="22"/>
      <c r="O1964" s="22"/>
      <c r="P1964" s="22"/>
    </row>
    <row r="1965" spans="11:16" s="1" customFormat="1" x14ac:dyDescent="0.25">
      <c r="K1965" s="28"/>
      <c r="L1965" s="28"/>
      <c r="N1965" s="22"/>
      <c r="O1965" s="22"/>
      <c r="P1965" s="22"/>
    </row>
    <row r="1966" spans="11:16" s="1" customFormat="1" x14ac:dyDescent="0.25">
      <c r="K1966" s="28"/>
      <c r="L1966" s="28"/>
      <c r="N1966" s="22"/>
      <c r="O1966" s="22"/>
      <c r="P1966" s="22"/>
    </row>
    <row r="1967" spans="11:16" s="1" customFormat="1" x14ac:dyDescent="0.25">
      <c r="K1967" s="28"/>
      <c r="L1967" s="28"/>
      <c r="N1967" s="22"/>
      <c r="O1967" s="22"/>
      <c r="P1967" s="22"/>
    </row>
    <row r="1968" spans="11:16" s="1" customFormat="1" x14ac:dyDescent="0.25">
      <c r="K1968" s="28"/>
      <c r="L1968" s="28"/>
      <c r="N1968" s="22"/>
      <c r="O1968" s="22"/>
      <c r="P1968" s="22"/>
    </row>
    <row r="1969" spans="11:16" s="1" customFormat="1" x14ac:dyDescent="0.25">
      <c r="K1969" s="28"/>
      <c r="L1969" s="28"/>
      <c r="N1969" s="22"/>
      <c r="O1969" s="22"/>
      <c r="P1969" s="22"/>
    </row>
    <row r="1970" spans="11:16" s="1" customFormat="1" x14ac:dyDescent="0.25">
      <c r="K1970" s="28"/>
      <c r="L1970" s="28"/>
      <c r="N1970" s="22"/>
      <c r="O1970" s="22"/>
      <c r="P1970" s="22"/>
    </row>
    <row r="1971" spans="11:16" s="1" customFormat="1" x14ac:dyDescent="0.25">
      <c r="K1971" s="28"/>
      <c r="L1971" s="28"/>
      <c r="N1971" s="22"/>
      <c r="O1971" s="22"/>
      <c r="P1971" s="22"/>
    </row>
    <row r="1972" spans="11:16" s="1" customFormat="1" x14ac:dyDescent="0.25">
      <c r="K1972" s="28"/>
      <c r="L1972" s="28"/>
      <c r="N1972" s="22"/>
      <c r="O1972" s="22"/>
      <c r="P1972" s="22"/>
    </row>
    <row r="1973" spans="11:16" s="1" customFormat="1" x14ac:dyDescent="0.25">
      <c r="K1973" s="28"/>
      <c r="L1973" s="28"/>
      <c r="N1973" s="22"/>
      <c r="O1973" s="22"/>
      <c r="P1973" s="22"/>
    </row>
    <row r="1974" spans="11:16" s="1" customFormat="1" x14ac:dyDescent="0.25">
      <c r="K1974" s="28"/>
      <c r="L1974" s="28"/>
      <c r="N1974" s="22"/>
      <c r="O1974" s="22"/>
      <c r="P1974" s="22"/>
    </row>
    <row r="1975" spans="11:16" s="1" customFormat="1" x14ac:dyDescent="0.25">
      <c r="K1975" s="28"/>
      <c r="L1975" s="28"/>
      <c r="N1975" s="22"/>
      <c r="O1975" s="22"/>
      <c r="P1975" s="22"/>
    </row>
    <row r="1976" spans="11:16" s="1" customFormat="1" x14ac:dyDescent="0.25">
      <c r="K1976" s="28"/>
      <c r="L1976" s="28"/>
      <c r="N1976" s="22"/>
      <c r="O1976" s="22"/>
      <c r="P1976" s="22"/>
    </row>
    <row r="1977" spans="11:16" s="1" customFormat="1" x14ac:dyDescent="0.25">
      <c r="K1977" s="28"/>
      <c r="L1977" s="28"/>
      <c r="N1977" s="22"/>
      <c r="O1977" s="22"/>
      <c r="P1977" s="22"/>
    </row>
    <row r="1978" spans="11:16" s="1" customFormat="1" x14ac:dyDescent="0.25">
      <c r="K1978" s="28"/>
      <c r="L1978" s="28"/>
      <c r="N1978" s="22"/>
      <c r="O1978" s="22"/>
      <c r="P1978" s="22"/>
    </row>
    <row r="1979" spans="11:16" s="1" customFormat="1" x14ac:dyDescent="0.25">
      <c r="K1979" s="28"/>
      <c r="L1979" s="28"/>
      <c r="N1979" s="22"/>
      <c r="O1979" s="22"/>
      <c r="P1979" s="22"/>
    </row>
    <row r="1980" spans="11:16" s="1" customFormat="1" x14ac:dyDescent="0.25">
      <c r="K1980" s="28"/>
      <c r="L1980" s="28"/>
      <c r="N1980" s="22"/>
      <c r="O1980" s="22"/>
      <c r="P1980" s="22"/>
    </row>
    <row r="1981" spans="11:16" s="1" customFormat="1" x14ac:dyDescent="0.25">
      <c r="K1981" s="28"/>
      <c r="L1981" s="28"/>
      <c r="N1981" s="22"/>
      <c r="O1981" s="22"/>
      <c r="P1981" s="22"/>
    </row>
    <row r="1982" spans="11:16" s="1" customFormat="1" x14ac:dyDescent="0.25">
      <c r="K1982" s="28"/>
      <c r="L1982" s="28"/>
      <c r="N1982" s="22"/>
      <c r="O1982" s="22"/>
      <c r="P1982" s="22"/>
    </row>
    <row r="1983" spans="11:16" s="1" customFormat="1" x14ac:dyDescent="0.25">
      <c r="K1983" s="28"/>
      <c r="L1983" s="28"/>
      <c r="N1983" s="22"/>
      <c r="O1983" s="22"/>
      <c r="P1983" s="22"/>
    </row>
    <row r="1984" spans="11:16" s="1" customFormat="1" x14ac:dyDescent="0.25">
      <c r="K1984" s="28"/>
      <c r="L1984" s="28"/>
      <c r="N1984" s="22"/>
      <c r="O1984" s="22"/>
      <c r="P1984" s="22"/>
    </row>
    <row r="1985" spans="11:16" s="1" customFormat="1" x14ac:dyDescent="0.25">
      <c r="K1985" s="28"/>
      <c r="L1985" s="28"/>
      <c r="N1985" s="22"/>
      <c r="O1985" s="22"/>
      <c r="P1985" s="22"/>
    </row>
    <row r="1986" spans="11:16" s="1" customFormat="1" x14ac:dyDescent="0.25">
      <c r="K1986" s="28"/>
      <c r="L1986" s="28"/>
      <c r="N1986" s="22"/>
      <c r="O1986" s="22"/>
      <c r="P1986" s="22"/>
    </row>
    <row r="1987" spans="11:16" s="1" customFormat="1" x14ac:dyDescent="0.25">
      <c r="K1987" s="28"/>
      <c r="L1987" s="28"/>
      <c r="N1987" s="22"/>
      <c r="O1987" s="22"/>
      <c r="P1987" s="22"/>
    </row>
    <row r="1988" spans="11:16" s="1" customFormat="1" x14ac:dyDescent="0.25">
      <c r="K1988" s="28"/>
      <c r="L1988" s="28"/>
      <c r="N1988" s="22"/>
      <c r="O1988" s="22"/>
      <c r="P1988" s="22"/>
    </row>
    <row r="1989" spans="11:16" s="1" customFormat="1" x14ac:dyDescent="0.25">
      <c r="K1989" s="28"/>
      <c r="L1989" s="28"/>
      <c r="N1989" s="22"/>
      <c r="O1989" s="22"/>
      <c r="P1989" s="22"/>
    </row>
    <row r="1990" spans="11:16" s="1" customFormat="1" x14ac:dyDescent="0.25">
      <c r="K1990" s="28"/>
      <c r="L1990" s="28"/>
      <c r="N1990" s="22"/>
      <c r="O1990" s="22"/>
      <c r="P1990" s="22"/>
    </row>
    <row r="1991" spans="11:16" s="1" customFormat="1" x14ac:dyDescent="0.25">
      <c r="K1991" s="28"/>
      <c r="L1991" s="28"/>
      <c r="N1991" s="22"/>
      <c r="O1991" s="22"/>
      <c r="P1991" s="22"/>
    </row>
    <row r="1992" spans="11:16" s="1" customFormat="1" x14ac:dyDescent="0.25">
      <c r="K1992" s="28"/>
      <c r="L1992" s="28"/>
      <c r="N1992" s="22"/>
      <c r="O1992" s="22"/>
      <c r="P1992" s="22"/>
    </row>
    <row r="1993" spans="11:16" s="1" customFormat="1" x14ac:dyDescent="0.25">
      <c r="K1993" s="28"/>
      <c r="L1993" s="28"/>
      <c r="N1993" s="22"/>
      <c r="O1993" s="22"/>
      <c r="P1993" s="22"/>
    </row>
    <row r="1994" spans="11:16" s="1" customFormat="1" x14ac:dyDescent="0.25">
      <c r="K1994" s="28"/>
      <c r="L1994" s="28"/>
      <c r="N1994" s="22"/>
      <c r="O1994" s="22"/>
      <c r="P1994" s="22"/>
    </row>
    <row r="1995" spans="11:16" s="1" customFormat="1" x14ac:dyDescent="0.25">
      <c r="K1995" s="28"/>
      <c r="L1995" s="28"/>
      <c r="N1995" s="22"/>
      <c r="O1995" s="22"/>
      <c r="P1995" s="22"/>
    </row>
    <row r="1996" spans="11:16" s="1" customFormat="1" x14ac:dyDescent="0.25">
      <c r="K1996" s="28"/>
      <c r="L1996" s="28"/>
      <c r="N1996" s="22"/>
      <c r="O1996" s="22"/>
      <c r="P1996" s="22"/>
    </row>
    <row r="1997" spans="11:16" s="1" customFormat="1" x14ac:dyDescent="0.25">
      <c r="K1997" s="28"/>
      <c r="L1997" s="28"/>
      <c r="N1997" s="22"/>
      <c r="O1997" s="22"/>
      <c r="P1997" s="22"/>
    </row>
    <row r="1998" spans="11:16" s="1" customFormat="1" x14ac:dyDescent="0.25">
      <c r="K1998" s="28"/>
      <c r="L1998" s="28"/>
      <c r="N1998" s="22"/>
      <c r="O1998" s="22"/>
      <c r="P1998" s="22"/>
    </row>
    <row r="1999" spans="11:16" s="1" customFormat="1" x14ac:dyDescent="0.25">
      <c r="K1999" s="28"/>
      <c r="L1999" s="28"/>
      <c r="N1999" s="22"/>
      <c r="O1999" s="22"/>
      <c r="P1999" s="22"/>
    </row>
    <row r="2000" spans="11:16" s="1" customFormat="1" x14ac:dyDescent="0.25">
      <c r="K2000" s="28"/>
      <c r="L2000" s="28"/>
      <c r="N2000" s="22"/>
      <c r="O2000" s="22"/>
      <c r="P2000" s="22"/>
    </row>
    <row r="2001" spans="11:16" s="1" customFormat="1" x14ac:dyDescent="0.25">
      <c r="K2001" s="28"/>
      <c r="L2001" s="28"/>
      <c r="N2001" s="22"/>
      <c r="O2001" s="22"/>
      <c r="P2001" s="22"/>
    </row>
    <row r="2002" spans="11:16" s="1" customFormat="1" x14ac:dyDescent="0.25">
      <c r="K2002" s="28"/>
      <c r="L2002" s="28"/>
      <c r="N2002" s="22"/>
      <c r="O2002" s="22"/>
      <c r="P2002" s="22"/>
    </row>
    <row r="2003" spans="11:16" s="1" customFormat="1" x14ac:dyDescent="0.25">
      <c r="K2003" s="28"/>
      <c r="L2003" s="28"/>
      <c r="N2003" s="22"/>
      <c r="O2003" s="22"/>
      <c r="P2003" s="22"/>
    </row>
    <row r="2004" spans="11:16" s="1" customFormat="1" x14ac:dyDescent="0.25">
      <c r="K2004" s="28"/>
      <c r="L2004" s="28"/>
      <c r="N2004" s="22"/>
      <c r="O2004" s="22"/>
      <c r="P2004" s="22"/>
    </row>
    <row r="2005" spans="11:16" s="1" customFormat="1" x14ac:dyDescent="0.25">
      <c r="K2005" s="28"/>
      <c r="L2005" s="28"/>
      <c r="N2005" s="22"/>
      <c r="O2005" s="22"/>
      <c r="P2005" s="22"/>
    </row>
    <row r="2006" spans="11:16" s="1" customFormat="1" x14ac:dyDescent="0.25">
      <c r="K2006" s="28"/>
      <c r="L2006" s="28"/>
      <c r="N2006" s="22"/>
      <c r="O2006" s="22"/>
      <c r="P2006" s="22"/>
    </row>
    <row r="2007" spans="11:16" s="1" customFormat="1" x14ac:dyDescent="0.25">
      <c r="K2007" s="28"/>
      <c r="L2007" s="28"/>
      <c r="N2007" s="22"/>
      <c r="O2007" s="22"/>
      <c r="P2007" s="22"/>
    </row>
    <row r="2008" spans="11:16" s="1" customFormat="1" x14ac:dyDescent="0.25">
      <c r="K2008" s="28"/>
      <c r="L2008" s="28"/>
      <c r="N2008" s="22"/>
      <c r="O2008" s="22"/>
      <c r="P2008" s="22"/>
    </row>
    <row r="2009" spans="11:16" s="1" customFormat="1" x14ac:dyDescent="0.25">
      <c r="K2009" s="28"/>
      <c r="L2009" s="28"/>
      <c r="N2009" s="22"/>
      <c r="O2009" s="22"/>
      <c r="P2009" s="22"/>
    </row>
    <row r="2010" spans="11:16" s="1" customFormat="1" x14ac:dyDescent="0.25">
      <c r="K2010" s="28"/>
      <c r="L2010" s="28"/>
      <c r="N2010" s="22"/>
      <c r="O2010" s="22"/>
      <c r="P2010" s="22"/>
    </row>
    <row r="2011" spans="11:16" s="1" customFormat="1" x14ac:dyDescent="0.25">
      <c r="K2011" s="28"/>
      <c r="L2011" s="28"/>
      <c r="N2011" s="22"/>
      <c r="O2011" s="22"/>
      <c r="P2011" s="22"/>
    </row>
    <row r="2012" spans="11:16" s="1" customFormat="1" x14ac:dyDescent="0.25">
      <c r="K2012" s="28"/>
      <c r="L2012" s="28"/>
      <c r="N2012" s="22"/>
      <c r="O2012" s="22"/>
      <c r="P2012" s="22"/>
    </row>
    <row r="2013" spans="11:16" s="1" customFormat="1" x14ac:dyDescent="0.25">
      <c r="K2013" s="28"/>
      <c r="L2013" s="28"/>
      <c r="N2013" s="22"/>
      <c r="O2013" s="22"/>
      <c r="P2013" s="22"/>
    </row>
    <row r="2014" spans="11:16" s="1" customFormat="1" x14ac:dyDescent="0.25">
      <c r="K2014" s="28"/>
      <c r="L2014" s="28"/>
      <c r="N2014" s="22"/>
      <c r="O2014" s="22"/>
      <c r="P2014" s="22"/>
    </row>
    <row r="2015" spans="11:16" s="1" customFormat="1" x14ac:dyDescent="0.25">
      <c r="K2015" s="28"/>
      <c r="L2015" s="28"/>
      <c r="N2015" s="22"/>
      <c r="O2015" s="22"/>
      <c r="P2015" s="22"/>
    </row>
    <row r="2016" spans="11:16" s="1" customFormat="1" x14ac:dyDescent="0.25">
      <c r="K2016" s="28"/>
      <c r="L2016" s="28"/>
      <c r="N2016" s="22"/>
      <c r="O2016" s="22"/>
      <c r="P2016" s="22"/>
    </row>
    <row r="2017" spans="11:16" s="1" customFormat="1" x14ac:dyDescent="0.25">
      <c r="K2017" s="28"/>
      <c r="L2017" s="28"/>
      <c r="N2017" s="22"/>
      <c r="O2017" s="22"/>
      <c r="P2017" s="22"/>
    </row>
    <row r="2018" spans="11:16" s="1" customFormat="1" x14ac:dyDescent="0.25">
      <c r="K2018" s="28"/>
      <c r="L2018" s="28"/>
      <c r="N2018" s="22"/>
      <c r="O2018" s="22"/>
      <c r="P2018" s="22"/>
    </row>
    <row r="2019" spans="11:16" s="1" customFormat="1" x14ac:dyDescent="0.25">
      <c r="K2019" s="28"/>
      <c r="L2019" s="28"/>
      <c r="N2019" s="22"/>
      <c r="O2019" s="22"/>
      <c r="P2019" s="22"/>
    </row>
    <row r="2020" spans="11:16" s="1" customFormat="1" x14ac:dyDescent="0.25">
      <c r="K2020" s="28"/>
      <c r="L2020" s="28"/>
      <c r="N2020" s="22"/>
      <c r="O2020" s="22"/>
      <c r="P2020" s="22"/>
    </row>
    <row r="2021" spans="11:16" s="1" customFormat="1" x14ac:dyDescent="0.25">
      <c r="K2021" s="28"/>
      <c r="L2021" s="28"/>
      <c r="N2021" s="22"/>
      <c r="O2021" s="22"/>
      <c r="P2021" s="22"/>
    </row>
    <row r="2022" spans="11:16" s="1" customFormat="1" x14ac:dyDescent="0.25">
      <c r="K2022" s="28"/>
      <c r="L2022" s="28"/>
      <c r="N2022" s="22"/>
      <c r="O2022" s="22"/>
      <c r="P2022" s="22"/>
    </row>
    <row r="2023" spans="11:16" s="1" customFormat="1" x14ac:dyDescent="0.25">
      <c r="K2023" s="28"/>
      <c r="L2023" s="28"/>
      <c r="N2023" s="22"/>
      <c r="O2023" s="22"/>
      <c r="P2023" s="22"/>
    </row>
    <row r="2024" spans="11:16" s="1" customFormat="1" x14ac:dyDescent="0.25">
      <c r="K2024" s="28"/>
      <c r="L2024" s="28"/>
      <c r="N2024" s="22"/>
      <c r="O2024" s="22"/>
      <c r="P2024" s="22"/>
    </row>
    <row r="2025" spans="11:16" s="1" customFormat="1" x14ac:dyDescent="0.25">
      <c r="K2025" s="28"/>
      <c r="L2025" s="28"/>
      <c r="N2025" s="22"/>
      <c r="O2025" s="22"/>
      <c r="P2025" s="22"/>
    </row>
    <row r="2026" spans="11:16" s="1" customFormat="1" x14ac:dyDescent="0.25">
      <c r="K2026" s="28"/>
      <c r="L2026" s="28"/>
      <c r="N2026" s="22"/>
      <c r="O2026" s="22"/>
      <c r="P2026" s="22"/>
    </row>
    <row r="2027" spans="11:16" s="1" customFormat="1" x14ac:dyDescent="0.25">
      <c r="K2027" s="28"/>
      <c r="L2027" s="28"/>
      <c r="N2027" s="22"/>
      <c r="O2027" s="22"/>
      <c r="P2027" s="22"/>
    </row>
    <row r="2028" spans="11:16" s="1" customFormat="1" x14ac:dyDescent="0.25">
      <c r="K2028" s="28"/>
      <c r="L2028" s="28"/>
      <c r="N2028" s="22"/>
      <c r="O2028" s="22"/>
      <c r="P2028" s="22"/>
    </row>
    <row r="2029" spans="11:16" s="1" customFormat="1" x14ac:dyDescent="0.25">
      <c r="K2029" s="28"/>
      <c r="L2029" s="28"/>
      <c r="N2029" s="22"/>
      <c r="O2029" s="22"/>
      <c r="P2029" s="22"/>
    </row>
    <row r="2030" spans="11:16" s="1" customFormat="1" x14ac:dyDescent="0.25">
      <c r="K2030" s="28"/>
      <c r="L2030" s="28"/>
      <c r="N2030" s="22"/>
      <c r="O2030" s="22"/>
      <c r="P2030" s="22"/>
    </row>
    <row r="2031" spans="11:16" s="1" customFormat="1" x14ac:dyDescent="0.25">
      <c r="K2031" s="28"/>
      <c r="L2031" s="28"/>
      <c r="N2031" s="22"/>
      <c r="O2031" s="22"/>
      <c r="P2031" s="22"/>
    </row>
    <row r="2032" spans="11:16" s="1" customFormat="1" x14ac:dyDescent="0.25">
      <c r="K2032" s="28"/>
      <c r="L2032" s="28"/>
      <c r="N2032" s="22"/>
      <c r="O2032" s="22"/>
      <c r="P2032" s="22"/>
    </row>
    <row r="2033" spans="11:16" s="1" customFormat="1" x14ac:dyDescent="0.25">
      <c r="K2033" s="28"/>
      <c r="L2033" s="28"/>
      <c r="N2033" s="22"/>
      <c r="O2033" s="22"/>
      <c r="P2033" s="22"/>
    </row>
    <row r="2034" spans="11:16" s="1" customFormat="1" x14ac:dyDescent="0.25">
      <c r="K2034" s="28"/>
      <c r="L2034" s="28"/>
      <c r="N2034" s="22"/>
      <c r="O2034" s="22"/>
      <c r="P2034" s="22"/>
    </row>
    <row r="2035" spans="11:16" s="1" customFormat="1" x14ac:dyDescent="0.25">
      <c r="K2035" s="28"/>
      <c r="L2035" s="28"/>
      <c r="N2035" s="22"/>
      <c r="O2035" s="22"/>
      <c r="P2035" s="22"/>
    </row>
    <row r="2036" spans="11:16" s="1" customFormat="1" x14ac:dyDescent="0.25">
      <c r="K2036" s="28"/>
      <c r="L2036" s="28"/>
      <c r="N2036" s="22"/>
      <c r="O2036" s="22"/>
      <c r="P2036" s="22"/>
    </row>
    <row r="2037" spans="11:16" s="1" customFormat="1" x14ac:dyDescent="0.25">
      <c r="K2037" s="28"/>
      <c r="L2037" s="28"/>
      <c r="N2037" s="22"/>
      <c r="O2037" s="22"/>
      <c r="P2037" s="22"/>
    </row>
    <row r="2038" spans="11:16" s="1" customFormat="1" x14ac:dyDescent="0.25">
      <c r="K2038" s="28"/>
      <c r="L2038" s="28"/>
      <c r="N2038" s="22"/>
      <c r="O2038" s="22"/>
      <c r="P2038" s="22"/>
    </row>
    <row r="2039" spans="11:16" s="1" customFormat="1" x14ac:dyDescent="0.25">
      <c r="K2039" s="28"/>
      <c r="L2039" s="28"/>
      <c r="N2039" s="22"/>
      <c r="O2039" s="22"/>
      <c r="P2039" s="22"/>
    </row>
    <row r="2040" spans="11:16" s="1" customFormat="1" x14ac:dyDescent="0.25">
      <c r="K2040" s="28"/>
      <c r="L2040" s="28"/>
      <c r="N2040" s="22"/>
      <c r="O2040" s="22"/>
      <c r="P2040" s="22"/>
    </row>
    <row r="2041" spans="11:16" s="1" customFormat="1" x14ac:dyDescent="0.25">
      <c r="K2041" s="28"/>
      <c r="L2041" s="28"/>
      <c r="N2041" s="22"/>
      <c r="O2041" s="22"/>
      <c r="P2041" s="22"/>
    </row>
    <row r="2042" spans="11:16" s="1" customFormat="1" x14ac:dyDescent="0.25">
      <c r="K2042" s="28"/>
      <c r="L2042" s="28"/>
      <c r="N2042" s="22"/>
      <c r="O2042" s="22"/>
      <c r="P2042" s="22"/>
    </row>
    <row r="2043" spans="11:16" s="1" customFormat="1" x14ac:dyDescent="0.25">
      <c r="K2043" s="28"/>
      <c r="L2043" s="28"/>
      <c r="N2043" s="22"/>
      <c r="O2043" s="22"/>
      <c r="P2043" s="22"/>
    </row>
    <row r="2044" spans="11:16" s="1" customFormat="1" x14ac:dyDescent="0.25">
      <c r="K2044" s="28"/>
      <c r="L2044" s="28"/>
      <c r="N2044" s="22"/>
      <c r="O2044" s="22"/>
      <c r="P2044" s="22"/>
    </row>
    <row r="2045" spans="11:16" s="1" customFormat="1" x14ac:dyDescent="0.25">
      <c r="K2045" s="28"/>
      <c r="L2045" s="28"/>
      <c r="N2045" s="22"/>
      <c r="O2045" s="22"/>
      <c r="P2045" s="22"/>
    </row>
    <row r="2046" spans="11:16" s="1" customFormat="1" x14ac:dyDescent="0.25">
      <c r="K2046" s="28"/>
      <c r="L2046" s="28"/>
      <c r="N2046" s="22"/>
      <c r="O2046" s="22"/>
      <c r="P2046" s="22"/>
    </row>
    <row r="2047" spans="11:16" s="1" customFormat="1" x14ac:dyDescent="0.25">
      <c r="K2047" s="28"/>
      <c r="L2047" s="28"/>
      <c r="N2047" s="22"/>
      <c r="O2047" s="22"/>
      <c r="P2047" s="22"/>
    </row>
    <row r="2048" spans="11:16" s="1" customFormat="1" x14ac:dyDescent="0.25">
      <c r="K2048" s="28"/>
      <c r="L2048" s="28"/>
      <c r="N2048" s="22"/>
      <c r="O2048" s="22"/>
      <c r="P2048" s="22"/>
    </row>
    <row r="2049" spans="11:16" s="1" customFormat="1" x14ac:dyDescent="0.25">
      <c r="K2049" s="28"/>
      <c r="L2049" s="28"/>
      <c r="N2049" s="22"/>
      <c r="O2049" s="22"/>
      <c r="P2049" s="22"/>
    </row>
    <row r="2050" spans="11:16" s="1" customFormat="1" x14ac:dyDescent="0.25">
      <c r="K2050" s="28"/>
      <c r="L2050" s="28"/>
      <c r="N2050" s="22"/>
      <c r="O2050" s="22"/>
      <c r="P2050" s="22"/>
    </row>
    <row r="2051" spans="11:16" s="1" customFormat="1" x14ac:dyDescent="0.25">
      <c r="K2051" s="28"/>
      <c r="L2051" s="28"/>
      <c r="N2051" s="22"/>
      <c r="O2051" s="22"/>
      <c r="P2051" s="22"/>
    </row>
    <row r="2052" spans="11:16" s="1" customFormat="1" x14ac:dyDescent="0.25">
      <c r="K2052" s="28"/>
      <c r="L2052" s="28"/>
      <c r="N2052" s="22"/>
      <c r="O2052" s="22"/>
      <c r="P2052" s="22"/>
    </row>
    <row r="2053" spans="11:16" s="1" customFormat="1" x14ac:dyDescent="0.25">
      <c r="K2053" s="28"/>
      <c r="L2053" s="28"/>
      <c r="N2053" s="22"/>
      <c r="O2053" s="22"/>
      <c r="P2053" s="22"/>
    </row>
    <row r="2054" spans="11:16" s="1" customFormat="1" x14ac:dyDescent="0.25">
      <c r="K2054" s="28"/>
      <c r="L2054" s="28"/>
      <c r="N2054" s="22"/>
      <c r="O2054" s="22"/>
      <c r="P2054" s="22"/>
    </row>
    <row r="2055" spans="11:16" s="1" customFormat="1" x14ac:dyDescent="0.25">
      <c r="K2055" s="28"/>
      <c r="L2055" s="28"/>
      <c r="N2055" s="22"/>
      <c r="O2055" s="22"/>
      <c r="P2055" s="22"/>
    </row>
    <row r="2056" spans="11:16" s="1" customFormat="1" x14ac:dyDescent="0.25">
      <c r="K2056" s="28"/>
      <c r="L2056" s="28"/>
      <c r="N2056" s="22"/>
      <c r="O2056" s="22"/>
      <c r="P2056" s="22"/>
    </row>
    <row r="2057" spans="11:16" s="1" customFormat="1" x14ac:dyDescent="0.25">
      <c r="K2057" s="28"/>
      <c r="L2057" s="28"/>
      <c r="N2057" s="22"/>
      <c r="O2057" s="22"/>
      <c r="P2057" s="22"/>
    </row>
    <row r="2058" spans="11:16" s="1" customFormat="1" x14ac:dyDescent="0.25">
      <c r="K2058" s="28"/>
      <c r="L2058" s="28"/>
      <c r="N2058" s="22"/>
      <c r="O2058" s="22"/>
      <c r="P2058" s="22"/>
    </row>
    <row r="2059" spans="11:16" s="1" customFormat="1" x14ac:dyDescent="0.25">
      <c r="K2059" s="28"/>
      <c r="L2059" s="28"/>
      <c r="N2059" s="22"/>
      <c r="O2059" s="22"/>
      <c r="P2059" s="22"/>
    </row>
    <row r="2060" spans="11:16" s="1" customFormat="1" x14ac:dyDescent="0.25">
      <c r="K2060" s="28"/>
      <c r="L2060" s="28"/>
      <c r="N2060" s="22"/>
      <c r="O2060" s="22"/>
      <c r="P2060" s="22"/>
    </row>
    <row r="2061" spans="11:16" s="1" customFormat="1" x14ac:dyDescent="0.25">
      <c r="K2061" s="28"/>
      <c r="L2061" s="28"/>
      <c r="N2061" s="22"/>
      <c r="O2061" s="22"/>
      <c r="P2061" s="22"/>
    </row>
    <row r="2062" spans="11:16" s="1" customFormat="1" x14ac:dyDescent="0.25">
      <c r="K2062" s="28"/>
      <c r="L2062" s="28"/>
      <c r="N2062" s="22"/>
      <c r="O2062" s="22"/>
      <c r="P2062" s="22"/>
    </row>
    <row r="2063" spans="11:16" s="1" customFormat="1" x14ac:dyDescent="0.25">
      <c r="K2063" s="28"/>
      <c r="L2063" s="28"/>
      <c r="N2063" s="22"/>
      <c r="O2063" s="22"/>
      <c r="P2063" s="22"/>
    </row>
    <row r="2064" spans="11:16" s="1" customFormat="1" x14ac:dyDescent="0.25">
      <c r="K2064" s="28"/>
      <c r="L2064" s="28"/>
      <c r="N2064" s="22"/>
      <c r="O2064" s="22"/>
      <c r="P2064" s="22"/>
    </row>
    <row r="2065" spans="11:16" s="1" customFormat="1" x14ac:dyDescent="0.25">
      <c r="K2065" s="28"/>
      <c r="L2065" s="28"/>
      <c r="N2065" s="22"/>
      <c r="O2065" s="22"/>
      <c r="P2065" s="22"/>
    </row>
    <row r="2066" spans="11:16" s="1" customFormat="1" x14ac:dyDescent="0.25">
      <c r="K2066" s="28"/>
      <c r="L2066" s="28"/>
      <c r="N2066" s="22"/>
      <c r="O2066" s="22"/>
      <c r="P2066" s="22"/>
    </row>
    <row r="2067" spans="11:16" s="1" customFormat="1" x14ac:dyDescent="0.25">
      <c r="K2067" s="28"/>
      <c r="L2067" s="28"/>
      <c r="N2067" s="22"/>
      <c r="O2067" s="22"/>
      <c r="P2067" s="22"/>
    </row>
    <row r="2068" spans="11:16" s="1" customFormat="1" x14ac:dyDescent="0.25">
      <c r="K2068" s="28"/>
      <c r="L2068" s="28"/>
      <c r="N2068" s="22"/>
      <c r="O2068" s="22"/>
      <c r="P2068" s="22"/>
    </row>
    <row r="2069" spans="11:16" s="1" customFormat="1" x14ac:dyDescent="0.25">
      <c r="K2069" s="28"/>
      <c r="L2069" s="28"/>
      <c r="N2069" s="22"/>
      <c r="O2069" s="22"/>
      <c r="P2069" s="22"/>
    </row>
    <row r="2070" spans="11:16" s="1" customFormat="1" x14ac:dyDescent="0.25">
      <c r="K2070" s="28"/>
      <c r="L2070" s="28"/>
      <c r="N2070" s="22"/>
      <c r="O2070" s="22"/>
      <c r="P2070" s="22"/>
    </row>
    <row r="2071" spans="11:16" s="1" customFormat="1" x14ac:dyDescent="0.25">
      <c r="K2071" s="28"/>
      <c r="L2071" s="28"/>
      <c r="N2071" s="22"/>
      <c r="O2071" s="22"/>
      <c r="P2071" s="22"/>
    </row>
    <row r="2072" spans="11:16" s="1" customFormat="1" x14ac:dyDescent="0.25">
      <c r="K2072" s="28"/>
      <c r="L2072" s="28"/>
      <c r="N2072" s="22"/>
      <c r="O2072" s="22"/>
      <c r="P2072" s="22"/>
    </row>
    <row r="2073" spans="11:16" s="1" customFormat="1" x14ac:dyDescent="0.25">
      <c r="K2073" s="28"/>
      <c r="L2073" s="28"/>
      <c r="N2073" s="22"/>
      <c r="O2073" s="22"/>
      <c r="P2073" s="22"/>
    </row>
    <row r="2074" spans="11:16" s="1" customFormat="1" x14ac:dyDescent="0.25">
      <c r="K2074" s="28"/>
      <c r="L2074" s="28"/>
      <c r="N2074" s="22"/>
      <c r="O2074" s="22"/>
      <c r="P2074" s="22"/>
    </row>
    <row r="2075" spans="11:16" s="1" customFormat="1" x14ac:dyDescent="0.25">
      <c r="K2075" s="28"/>
      <c r="L2075" s="28"/>
      <c r="N2075" s="22"/>
      <c r="O2075" s="22"/>
      <c r="P2075" s="22"/>
    </row>
    <row r="2076" spans="11:16" s="1" customFormat="1" x14ac:dyDescent="0.25">
      <c r="K2076" s="28"/>
      <c r="L2076" s="28"/>
      <c r="N2076" s="22"/>
      <c r="O2076" s="22"/>
      <c r="P2076" s="22"/>
    </row>
    <row r="2077" spans="11:16" s="1" customFormat="1" x14ac:dyDescent="0.25">
      <c r="K2077" s="28"/>
      <c r="L2077" s="28"/>
      <c r="N2077" s="22"/>
      <c r="O2077" s="22"/>
      <c r="P2077" s="22"/>
    </row>
    <row r="2078" spans="11:16" s="1" customFormat="1" x14ac:dyDescent="0.25">
      <c r="K2078" s="28"/>
      <c r="L2078" s="28"/>
      <c r="N2078" s="22"/>
      <c r="O2078" s="22"/>
      <c r="P2078" s="22"/>
    </row>
    <row r="2079" spans="11:16" s="1" customFormat="1" x14ac:dyDescent="0.25">
      <c r="K2079" s="28"/>
      <c r="L2079" s="28"/>
      <c r="N2079" s="22"/>
      <c r="O2079" s="22"/>
      <c r="P2079" s="22"/>
    </row>
    <row r="2080" spans="11:16" s="1" customFormat="1" x14ac:dyDescent="0.25">
      <c r="K2080" s="28"/>
      <c r="L2080" s="28"/>
      <c r="N2080" s="22"/>
      <c r="O2080" s="22"/>
      <c r="P2080" s="22"/>
    </row>
    <row r="2081" spans="11:16" s="1" customFormat="1" x14ac:dyDescent="0.25">
      <c r="K2081" s="28"/>
      <c r="L2081" s="28"/>
      <c r="N2081" s="22"/>
      <c r="O2081" s="22"/>
      <c r="P2081" s="22"/>
    </row>
    <row r="2082" spans="11:16" s="1" customFormat="1" x14ac:dyDescent="0.25">
      <c r="K2082" s="28"/>
      <c r="L2082" s="28"/>
      <c r="N2082" s="22"/>
      <c r="O2082" s="22"/>
      <c r="P2082" s="22"/>
    </row>
    <row r="2083" spans="11:16" s="1" customFormat="1" x14ac:dyDescent="0.25">
      <c r="K2083" s="28"/>
      <c r="L2083" s="28"/>
      <c r="N2083" s="22"/>
      <c r="O2083" s="22"/>
      <c r="P2083" s="22"/>
    </row>
    <row r="2084" spans="11:16" s="1" customFormat="1" x14ac:dyDescent="0.25">
      <c r="K2084" s="28"/>
      <c r="L2084" s="28"/>
      <c r="N2084" s="22"/>
      <c r="O2084" s="22"/>
      <c r="P2084" s="22"/>
    </row>
    <row r="2085" spans="11:16" s="1" customFormat="1" x14ac:dyDescent="0.25">
      <c r="K2085" s="28"/>
      <c r="L2085" s="28"/>
      <c r="N2085" s="22"/>
      <c r="O2085" s="22"/>
      <c r="P2085" s="22"/>
    </row>
    <row r="2086" spans="11:16" s="1" customFormat="1" x14ac:dyDescent="0.25">
      <c r="K2086" s="28"/>
      <c r="L2086" s="28"/>
      <c r="N2086" s="22"/>
      <c r="O2086" s="22"/>
      <c r="P2086" s="22"/>
    </row>
    <row r="2087" spans="11:16" s="1" customFormat="1" x14ac:dyDescent="0.25">
      <c r="K2087" s="28"/>
      <c r="L2087" s="28"/>
      <c r="N2087" s="22"/>
      <c r="O2087" s="22"/>
      <c r="P2087" s="22"/>
    </row>
    <row r="2088" spans="11:16" s="1" customFormat="1" x14ac:dyDescent="0.25">
      <c r="K2088" s="28"/>
      <c r="L2088" s="28"/>
      <c r="N2088" s="22"/>
      <c r="O2088" s="22"/>
      <c r="P2088" s="22"/>
    </row>
    <row r="2089" spans="11:16" s="1" customFormat="1" x14ac:dyDescent="0.25">
      <c r="K2089" s="28"/>
      <c r="L2089" s="28"/>
      <c r="N2089" s="22"/>
      <c r="O2089" s="22"/>
      <c r="P2089" s="22"/>
    </row>
    <row r="2090" spans="11:16" s="1" customFormat="1" x14ac:dyDescent="0.25">
      <c r="K2090" s="28"/>
      <c r="L2090" s="28"/>
      <c r="N2090" s="22"/>
      <c r="O2090" s="22"/>
      <c r="P2090" s="22"/>
    </row>
    <row r="2091" spans="11:16" s="1" customFormat="1" x14ac:dyDescent="0.25">
      <c r="K2091" s="28"/>
      <c r="L2091" s="28"/>
      <c r="N2091" s="22"/>
      <c r="O2091" s="22"/>
      <c r="P2091" s="22"/>
    </row>
    <row r="2092" spans="11:16" s="1" customFormat="1" x14ac:dyDescent="0.25">
      <c r="K2092" s="28"/>
      <c r="L2092" s="28"/>
      <c r="N2092" s="22"/>
      <c r="O2092" s="22"/>
      <c r="P2092" s="22"/>
    </row>
    <row r="2093" spans="11:16" s="1" customFormat="1" x14ac:dyDescent="0.25">
      <c r="K2093" s="28"/>
      <c r="L2093" s="28"/>
      <c r="N2093" s="22"/>
      <c r="O2093" s="22"/>
      <c r="P2093" s="22"/>
    </row>
    <row r="2094" spans="11:16" s="1" customFormat="1" x14ac:dyDescent="0.25">
      <c r="K2094" s="28"/>
      <c r="L2094" s="28"/>
      <c r="N2094" s="22"/>
      <c r="O2094" s="22"/>
      <c r="P2094" s="22"/>
    </row>
    <row r="2095" spans="11:16" s="1" customFormat="1" x14ac:dyDescent="0.25">
      <c r="K2095" s="28"/>
      <c r="L2095" s="28"/>
      <c r="N2095" s="22"/>
      <c r="O2095" s="22"/>
      <c r="P2095" s="22"/>
    </row>
    <row r="2096" spans="11:16" s="1" customFormat="1" x14ac:dyDescent="0.25">
      <c r="K2096" s="28"/>
      <c r="L2096" s="28"/>
      <c r="N2096" s="22"/>
      <c r="O2096" s="22"/>
      <c r="P2096" s="22"/>
    </row>
    <row r="2097" spans="11:16" s="1" customFormat="1" x14ac:dyDescent="0.25">
      <c r="K2097" s="28"/>
      <c r="L2097" s="28"/>
      <c r="N2097" s="22"/>
      <c r="O2097" s="22"/>
      <c r="P2097" s="22"/>
    </row>
    <row r="2098" spans="11:16" s="1" customFormat="1" x14ac:dyDescent="0.25">
      <c r="K2098" s="28"/>
      <c r="L2098" s="28"/>
      <c r="N2098" s="22"/>
      <c r="O2098" s="22"/>
      <c r="P2098" s="22"/>
    </row>
    <row r="2099" spans="11:16" s="1" customFormat="1" x14ac:dyDescent="0.25">
      <c r="K2099" s="28"/>
      <c r="L2099" s="28"/>
      <c r="N2099" s="22"/>
      <c r="O2099" s="22"/>
      <c r="P2099" s="22"/>
    </row>
    <row r="2100" spans="11:16" s="1" customFormat="1" x14ac:dyDescent="0.25">
      <c r="K2100" s="28"/>
      <c r="L2100" s="28"/>
      <c r="N2100" s="22"/>
      <c r="O2100" s="22"/>
      <c r="P2100" s="22"/>
    </row>
    <row r="2101" spans="11:16" s="1" customFormat="1" x14ac:dyDescent="0.25">
      <c r="K2101" s="28"/>
      <c r="L2101" s="28"/>
      <c r="N2101" s="22"/>
      <c r="O2101" s="22"/>
      <c r="P2101" s="22"/>
    </row>
    <row r="2102" spans="11:16" s="1" customFormat="1" x14ac:dyDescent="0.25">
      <c r="K2102" s="28"/>
      <c r="L2102" s="28"/>
      <c r="N2102" s="22"/>
      <c r="O2102" s="22"/>
      <c r="P2102" s="22"/>
    </row>
    <row r="2103" spans="11:16" s="1" customFormat="1" x14ac:dyDescent="0.25">
      <c r="K2103" s="28"/>
      <c r="L2103" s="28"/>
      <c r="N2103" s="22"/>
      <c r="O2103" s="22"/>
      <c r="P2103" s="22"/>
    </row>
    <row r="2104" spans="11:16" s="1" customFormat="1" x14ac:dyDescent="0.25">
      <c r="K2104" s="28"/>
      <c r="L2104" s="28"/>
      <c r="N2104" s="22"/>
      <c r="O2104" s="22"/>
      <c r="P2104" s="22"/>
    </row>
    <row r="2105" spans="11:16" s="1" customFormat="1" x14ac:dyDescent="0.25">
      <c r="K2105" s="28"/>
      <c r="L2105" s="28"/>
      <c r="N2105" s="22"/>
      <c r="O2105" s="22"/>
      <c r="P2105" s="22"/>
    </row>
    <row r="2106" spans="11:16" s="1" customFormat="1" x14ac:dyDescent="0.25">
      <c r="K2106" s="28"/>
      <c r="L2106" s="28"/>
      <c r="N2106" s="22"/>
      <c r="O2106" s="22"/>
      <c r="P2106" s="22"/>
    </row>
    <row r="2107" spans="11:16" s="1" customFormat="1" x14ac:dyDescent="0.25">
      <c r="K2107" s="28"/>
      <c r="L2107" s="28"/>
      <c r="N2107" s="22"/>
      <c r="O2107" s="22"/>
      <c r="P2107" s="22"/>
    </row>
    <row r="2108" spans="11:16" s="1" customFormat="1" x14ac:dyDescent="0.25">
      <c r="K2108" s="28"/>
      <c r="L2108" s="28"/>
      <c r="N2108" s="22"/>
      <c r="O2108" s="22"/>
      <c r="P2108" s="22"/>
    </row>
    <row r="2109" spans="11:16" s="1" customFormat="1" x14ac:dyDescent="0.25">
      <c r="K2109" s="28"/>
      <c r="L2109" s="28"/>
      <c r="N2109" s="22"/>
      <c r="O2109" s="22"/>
      <c r="P2109" s="22"/>
    </row>
    <row r="2110" spans="11:16" s="1" customFormat="1" x14ac:dyDescent="0.25">
      <c r="K2110" s="28"/>
      <c r="L2110" s="28"/>
      <c r="N2110" s="22"/>
      <c r="O2110" s="22"/>
      <c r="P2110" s="22"/>
    </row>
    <row r="2111" spans="11:16" s="1" customFormat="1" x14ac:dyDescent="0.25">
      <c r="K2111" s="28"/>
      <c r="L2111" s="28"/>
      <c r="N2111" s="22"/>
      <c r="O2111" s="22"/>
      <c r="P2111" s="22"/>
    </row>
    <row r="2112" spans="11:16" s="1" customFormat="1" x14ac:dyDescent="0.25">
      <c r="K2112" s="28"/>
      <c r="L2112" s="28"/>
      <c r="N2112" s="22"/>
      <c r="O2112" s="22"/>
      <c r="P2112" s="22"/>
    </row>
    <row r="2113" spans="11:16" s="1" customFormat="1" x14ac:dyDescent="0.25">
      <c r="K2113" s="28"/>
      <c r="L2113" s="28"/>
      <c r="N2113" s="22"/>
      <c r="O2113" s="22"/>
      <c r="P2113" s="22"/>
    </row>
    <row r="2114" spans="11:16" s="1" customFormat="1" x14ac:dyDescent="0.25">
      <c r="K2114" s="28"/>
      <c r="L2114" s="28"/>
      <c r="N2114" s="22"/>
      <c r="O2114" s="22"/>
      <c r="P2114" s="22"/>
    </row>
    <row r="2115" spans="11:16" s="1" customFormat="1" x14ac:dyDescent="0.25">
      <c r="K2115" s="28"/>
      <c r="L2115" s="28"/>
      <c r="N2115" s="22"/>
      <c r="O2115" s="22"/>
      <c r="P2115" s="22"/>
    </row>
    <row r="2116" spans="11:16" s="1" customFormat="1" x14ac:dyDescent="0.25">
      <c r="K2116" s="28"/>
      <c r="L2116" s="28"/>
      <c r="N2116" s="22"/>
      <c r="O2116" s="22"/>
      <c r="P2116" s="22"/>
    </row>
    <row r="2117" spans="11:16" s="1" customFormat="1" x14ac:dyDescent="0.25">
      <c r="K2117" s="28"/>
      <c r="L2117" s="28"/>
      <c r="N2117" s="22"/>
      <c r="O2117" s="22"/>
      <c r="P2117" s="22"/>
    </row>
    <row r="2118" spans="11:16" s="1" customFormat="1" x14ac:dyDescent="0.25">
      <c r="K2118" s="28"/>
      <c r="L2118" s="28"/>
      <c r="N2118" s="22"/>
      <c r="O2118" s="22"/>
      <c r="P2118" s="22"/>
    </row>
    <row r="2119" spans="11:16" s="1" customFormat="1" x14ac:dyDescent="0.25">
      <c r="K2119" s="28"/>
      <c r="L2119" s="28"/>
      <c r="N2119" s="22"/>
      <c r="O2119" s="22"/>
      <c r="P2119" s="22"/>
    </row>
    <row r="2120" spans="11:16" s="1" customFormat="1" x14ac:dyDescent="0.25">
      <c r="K2120" s="28"/>
      <c r="L2120" s="28"/>
      <c r="N2120" s="22"/>
      <c r="O2120" s="22"/>
      <c r="P2120" s="22"/>
    </row>
    <row r="2121" spans="11:16" s="1" customFormat="1" x14ac:dyDescent="0.25">
      <c r="K2121" s="28"/>
      <c r="L2121" s="28"/>
      <c r="N2121" s="22"/>
      <c r="O2121" s="22"/>
      <c r="P2121" s="22"/>
    </row>
    <row r="2122" spans="11:16" s="1" customFormat="1" x14ac:dyDescent="0.25">
      <c r="K2122" s="28"/>
      <c r="L2122" s="28"/>
      <c r="N2122" s="22"/>
      <c r="O2122" s="22"/>
      <c r="P2122" s="22"/>
    </row>
    <row r="2123" spans="11:16" s="1" customFormat="1" x14ac:dyDescent="0.25">
      <c r="K2123" s="28"/>
      <c r="L2123" s="28"/>
      <c r="N2123" s="22"/>
      <c r="O2123" s="22"/>
      <c r="P2123" s="22"/>
    </row>
    <row r="2124" spans="11:16" s="1" customFormat="1" x14ac:dyDescent="0.25">
      <c r="K2124" s="28"/>
      <c r="L2124" s="28"/>
      <c r="N2124" s="22"/>
      <c r="O2124" s="22"/>
      <c r="P2124" s="22"/>
    </row>
    <row r="2125" spans="11:16" s="1" customFormat="1" x14ac:dyDescent="0.25">
      <c r="K2125" s="28"/>
      <c r="L2125" s="28"/>
      <c r="N2125" s="22"/>
      <c r="O2125" s="22"/>
      <c r="P2125" s="22"/>
    </row>
    <row r="2126" spans="11:16" s="1" customFormat="1" x14ac:dyDescent="0.25">
      <c r="K2126" s="28"/>
      <c r="L2126" s="28"/>
      <c r="N2126" s="22"/>
      <c r="O2126" s="22"/>
      <c r="P2126" s="22"/>
    </row>
    <row r="2127" spans="11:16" s="1" customFormat="1" x14ac:dyDescent="0.25">
      <c r="K2127" s="28"/>
      <c r="L2127" s="28"/>
      <c r="N2127" s="22"/>
      <c r="O2127" s="22"/>
      <c r="P2127" s="22"/>
    </row>
    <row r="2128" spans="11:16" s="1" customFormat="1" x14ac:dyDescent="0.25">
      <c r="K2128" s="28"/>
      <c r="L2128" s="28"/>
      <c r="N2128" s="22"/>
      <c r="O2128" s="22"/>
      <c r="P2128" s="22"/>
    </row>
    <row r="2129" spans="11:16" s="1" customFormat="1" x14ac:dyDescent="0.25">
      <c r="K2129" s="28"/>
      <c r="L2129" s="28"/>
      <c r="N2129" s="22"/>
      <c r="O2129" s="22"/>
      <c r="P2129" s="22"/>
    </row>
    <row r="2130" spans="11:16" s="1" customFormat="1" x14ac:dyDescent="0.25">
      <c r="K2130" s="28"/>
      <c r="L2130" s="28"/>
      <c r="N2130" s="22"/>
      <c r="O2130" s="22"/>
      <c r="P2130" s="22"/>
    </row>
    <row r="2131" spans="11:16" s="1" customFormat="1" x14ac:dyDescent="0.25">
      <c r="K2131" s="28"/>
      <c r="L2131" s="28"/>
      <c r="N2131" s="22"/>
      <c r="O2131" s="22"/>
      <c r="P2131" s="22"/>
    </row>
    <row r="2132" spans="11:16" s="1" customFormat="1" x14ac:dyDescent="0.25">
      <c r="K2132" s="28"/>
      <c r="L2132" s="28"/>
      <c r="N2132" s="22"/>
      <c r="O2132" s="22"/>
      <c r="P2132" s="22"/>
    </row>
    <row r="2133" spans="11:16" s="1" customFormat="1" x14ac:dyDescent="0.25">
      <c r="K2133" s="28"/>
      <c r="L2133" s="28"/>
      <c r="N2133" s="22"/>
      <c r="O2133" s="22"/>
      <c r="P2133" s="22"/>
    </row>
    <row r="2134" spans="11:16" s="1" customFormat="1" x14ac:dyDescent="0.25">
      <c r="K2134" s="28"/>
      <c r="L2134" s="28"/>
      <c r="N2134" s="22"/>
      <c r="O2134" s="22"/>
      <c r="P2134" s="22"/>
    </row>
    <row r="2135" spans="11:16" s="1" customFormat="1" x14ac:dyDescent="0.25">
      <c r="K2135" s="28"/>
      <c r="L2135" s="28"/>
      <c r="N2135" s="22"/>
      <c r="O2135" s="22"/>
      <c r="P2135" s="22"/>
    </row>
    <row r="2136" spans="11:16" s="1" customFormat="1" x14ac:dyDescent="0.25">
      <c r="K2136" s="28"/>
      <c r="L2136" s="28"/>
      <c r="N2136" s="22"/>
      <c r="O2136" s="22"/>
      <c r="P2136" s="22"/>
    </row>
    <row r="2137" spans="11:16" s="1" customFormat="1" x14ac:dyDescent="0.25">
      <c r="K2137" s="28"/>
      <c r="L2137" s="28"/>
      <c r="N2137" s="22"/>
      <c r="O2137" s="22"/>
      <c r="P2137" s="22"/>
    </row>
    <row r="2138" spans="11:16" s="1" customFormat="1" x14ac:dyDescent="0.25">
      <c r="K2138" s="28"/>
      <c r="L2138" s="28"/>
      <c r="N2138" s="22"/>
      <c r="O2138" s="22"/>
      <c r="P2138" s="22"/>
    </row>
    <row r="2139" spans="11:16" s="1" customFormat="1" x14ac:dyDescent="0.25">
      <c r="K2139" s="28"/>
      <c r="L2139" s="28"/>
      <c r="N2139" s="22"/>
      <c r="O2139" s="22"/>
      <c r="P2139" s="22"/>
    </row>
    <row r="2140" spans="11:16" s="1" customFormat="1" x14ac:dyDescent="0.25">
      <c r="K2140" s="28"/>
      <c r="L2140" s="28"/>
      <c r="N2140" s="22"/>
      <c r="O2140" s="22"/>
      <c r="P2140" s="22"/>
    </row>
    <row r="2141" spans="11:16" s="1" customFormat="1" x14ac:dyDescent="0.25">
      <c r="K2141" s="28"/>
      <c r="L2141" s="28"/>
      <c r="N2141" s="22"/>
      <c r="O2141" s="22"/>
      <c r="P2141" s="22"/>
    </row>
    <row r="2142" spans="11:16" s="1" customFormat="1" x14ac:dyDescent="0.25">
      <c r="K2142" s="28"/>
      <c r="L2142" s="28"/>
      <c r="N2142" s="22"/>
      <c r="O2142" s="22"/>
      <c r="P2142" s="22"/>
    </row>
    <row r="2143" spans="11:16" s="1" customFormat="1" x14ac:dyDescent="0.25">
      <c r="K2143" s="28"/>
      <c r="L2143" s="28"/>
      <c r="N2143" s="22"/>
      <c r="O2143" s="22"/>
      <c r="P2143" s="22"/>
    </row>
    <row r="2144" spans="11:16" s="1" customFormat="1" x14ac:dyDescent="0.25">
      <c r="K2144" s="28"/>
      <c r="L2144" s="28"/>
      <c r="N2144" s="22"/>
      <c r="O2144" s="22"/>
      <c r="P2144" s="22"/>
    </row>
    <row r="2145" spans="11:16" s="1" customFormat="1" x14ac:dyDescent="0.25">
      <c r="K2145" s="28"/>
      <c r="L2145" s="28"/>
      <c r="N2145" s="22"/>
      <c r="O2145" s="22"/>
      <c r="P2145" s="22"/>
    </row>
    <row r="2146" spans="11:16" s="1" customFormat="1" x14ac:dyDescent="0.25">
      <c r="K2146" s="28"/>
      <c r="L2146" s="28"/>
      <c r="N2146" s="22"/>
      <c r="O2146" s="22"/>
      <c r="P2146" s="22"/>
    </row>
    <row r="2147" spans="11:16" s="1" customFormat="1" x14ac:dyDescent="0.25">
      <c r="K2147" s="28"/>
      <c r="L2147" s="28"/>
      <c r="N2147" s="22"/>
      <c r="O2147" s="22"/>
      <c r="P2147" s="22"/>
    </row>
    <row r="2148" spans="11:16" s="1" customFormat="1" x14ac:dyDescent="0.25">
      <c r="K2148" s="28"/>
      <c r="L2148" s="28"/>
      <c r="N2148" s="22"/>
      <c r="O2148" s="22"/>
      <c r="P2148" s="22"/>
    </row>
    <row r="2149" spans="11:16" s="1" customFormat="1" x14ac:dyDescent="0.25">
      <c r="K2149" s="28"/>
      <c r="L2149" s="28"/>
      <c r="N2149" s="22"/>
      <c r="O2149" s="22"/>
      <c r="P2149" s="22"/>
    </row>
    <row r="2150" spans="11:16" s="1" customFormat="1" x14ac:dyDescent="0.25">
      <c r="K2150" s="28"/>
      <c r="L2150" s="28"/>
      <c r="N2150" s="22"/>
      <c r="O2150" s="22"/>
      <c r="P2150" s="22"/>
    </row>
    <row r="2151" spans="11:16" s="1" customFormat="1" x14ac:dyDescent="0.25">
      <c r="K2151" s="28"/>
      <c r="L2151" s="28"/>
      <c r="N2151" s="22"/>
      <c r="O2151" s="22"/>
      <c r="P2151" s="22"/>
    </row>
    <row r="2152" spans="11:16" s="1" customFormat="1" x14ac:dyDescent="0.25">
      <c r="K2152" s="28"/>
      <c r="L2152" s="28"/>
      <c r="N2152" s="22"/>
      <c r="O2152" s="22"/>
      <c r="P2152" s="22"/>
    </row>
    <row r="2153" spans="11:16" s="1" customFormat="1" x14ac:dyDescent="0.25">
      <c r="K2153" s="28"/>
      <c r="L2153" s="28"/>
      <c r="N2153" s="22"/>
      <c r="O2153" s="22"/>
      <c r="P2153" s="22"/>
    </row>
    <row r="2154" spans="11:16" s="1" customFormat="1" x14ac:dyDescent="0.25">
      <c r="K2154" s="28"/>
      <c r="L2154" s="28"/>
      <c r="N2154" s="22"/>
      <c r="O2154" s="22"/>
      <c r="P2154" s="22"/>
    </row>
    <row r="2155" spans="11:16" s="1" customFormat="1" x14ac:dyDescent="0.25">
      <c r="K2155" s="28"/>
      <c r="L2155" s="28"/>
      <c r="N2155" s="22"/>
      <c r="O2155" s="22"/>
      <c r="P2155" s="22"/>
    </row>
    <row r="2156" spans="11:16" s="1" customFormat="1" x14ac:dyDescent="0.25">
      <c r="K2156" s="28"/>
      <c r="L2156" s="28"/>
      <c r="N2156" s="22"/>
      <c r="O2156" s="22"/>
      <c r="P2156" s="22"/>
    </row>
    <row r="2157" spans="11:16" s="1" customFormat="1" x14ac:dyDescent="0.25">
      <c r="K2157" s="28"/>
      <c r="L2157" s="28"/>
      <c r="N2157" s="22"/>
      <c r="O2157" s="22"/>
      <c r="P2157" s="22"/>
    </row>
    <row r="2158" spans="11:16" s="1" customFormat="1" x14ac:dyDescent="0.25">
      <c r="K2158" s="28"/>
      <c r="L2158" s="28"/>
      <c r="N2158" s="22"/>
      <c r="O2158" s="22"/>
      <c r="P2158" s="22"/>
    </row>
    <row r="2159" spans="11:16" s="1" customFormat="1" x14ac:dyDescent="0.25">
      <c r="K2159" s="28"/>
      <c r="L2159" s="28"/>
      <c r="N2159" s="22"/>
      <c r="O2159" s="22"/>
      <c r="P2159" s="22"/>
    </row>
    <row r="2160" spans="11:16" s="1" customFormat="1" x14ac:dyDescent="0.25">
      <c r="K2160" s="28"/>
      <c r="L2160" s="28"/>
      <c r="N2160" s="22"/>
      <c r="O2160" s="22"/>
      <c r="P2160" s="22"/>
    </row>
    <row r="2161" spans="11:16" s="1" customFormat="1" x14ac:dyDescent="0.25">
      <c r="K2161" s="28"/>
      <c r="L2161" s="28"/>
      <c r="N2161" s="22"/>
      <c r="O2161" s="22"/>
      <c r="P2161" s="22"/>
    </row>
    <row r="2162" spans="11:16" s="1" customFormat="1" x14ac:dyDescent="0.25">
      <c r="K2162" s="28"/>
      <c r="L2162" s="28"/>
      <c r="N2162" s="22"/>
      <c r="O2162" s="22"/>
      <c r="P2162" s="22"/>
    </row>
    <row r="2163" spans="11:16" s="1" customFormat="1" x14ac:dyDescent="0.25">
      <c r="K2163" s="28"/>
      <c r="L2163" s="28"/>
      <c r="N2163" s="22"/>
      <c r="O2163" s="22"/>
      <c r="P2163" s="22"/>
    </row>
    <row r="2164" spans="11:16" s="1" customFormat="1" x14ac:dyDescent="0.25">
      <c r="K2164" s="28"/>
      <c r="L2164" s="28"/>
      <c r="N2164" s="22"/>
      <c r="O2164" s="22"/>
      <c r="P2164" s="22"/>
    </row>
    <row r="2165" spans="11:16" s="1" customFormat="1" x14ac:dyDescent="0.25">
      <c r="K2165" s="28"/>
      <c r="L2165" s="28"/>
      <c r="N2165" s="22"/>
      <c r="O2165" s="22"/>
      <c r="P2165" s="22"/>
    </row>
    <row r="2166" spans="11:16" s="1" customFormat="1" x14ac:dyDescent="0.25">
      <c r="K2166" s="28"/>
      <c r="L2166" s="28"/>
      <c r="N2166" s="22"/>
      <c r="O2166" s="22"/>
      <c r="P2166" s="22"/>
    </row>
    <row r="2167" spans="11:16" s="1" customFormat="1" x14ac:dyDescent="0.25">
      <c r="K2167" s="28"/>
      <c r="L2167" s="28"/>
      <c r="N2167" s="22"/>
      <c r="O2167" s="22"/>
      <c r="P2167" s="22"/>
    </row>
    <row r="2168" spans="11:16" s="1" customFormat="1" x14ac:dyDescent="0.25">
      <c r="K2168" s="28"/>
      <c r="L2168" s="28"/>
      <c r="N2168" s="22"/>
      <c r="O2168" s="22"/>
      <c r="P2168" s="22"/>
    </row>
    <row r="2169" spans="11:16" s="1" customFormat="1" x14ac:dyDescent="0.25">
      <c r="K2169" s="28"/>
      <c r="L2169" s="28"/>
      <c r="N2169" s="22"/>
      <c r="O2169" s="22"/>
      <c r="P2169" s="22"/>
    </row>
    <row r="2170" spans="11:16" s="1" customFormat="1" x14ac:dyDescent="0.25">
      <c r="K2170" s="28"/>
      <c r="L2170" s="28"/>
      <c r="N2170" s="22"/>
      <c r="O2170" s="22"/>
      <c r="P2170" s="22"/>
    </row>
    <row r="2171" spans="11:16" s="1" customFormat="1" x14ac:dyDescent="0.25">
      <c r="K2171" s="28"/>
      <c r="L2171" s="28"/>
      <c r="N2171" s="22"/>
      <c r="O2171" s="22"/>
      <c r="P2171" s="22"/>
    </row>
    <row r="2172" spans="11:16" s="1" customFormat="1" x14ac:dyDescent="0.25">
      <c r="K2172" s="28"/>
      <c r="L2172" s="28"/>
      <c r="N2172" s="22"/>
      <c r="O2172" s="22"/>
      <c r="P2172" s="22"/>
    </row>
    <row r="2173" spans="11:16" s="1" customFormat="1" x14ac:dyDescent="0.25">
      <c r="K2173" s="28"/>
      <c r="L2173" s="28"/>
      <c r="N2173" s="22"/>
      <c r="O2173" s="22"/>
      <c r="P2173" s="22"/>
    </row>
    <row r="2174" spans="11:16" s="1" customFormat="1" x14ac:dyDescent="0.25">
      <c r="K2174" s="28"/>
      <c r="L2174" s="28"/>
      <c r="N2174" s="22"/>
      <c r="O2174" s="22"/>
      <c r="P2174" s="22"/>
    </row>
    <row r="2175" spans="11:16" s="1" customFormat="1" x14ac:dyDescent="0.25">
      <c r="K2175" s="28"/>
      <c r="L2175" s="28"/>
      <c r="N2175" s="22"/>
      <c r="O2175" s="22"/>
      <c r="P2175" s="22"/>
    </row>
    <row r="2176" spans="11:16" s="1" customFormat="1" x14ac:dyDescent="0.25">
      <c r="K2176" s="28"/>
      <c r="L2176" s="28"/>
      <c r="N2176" s="22"/>
      <c r="O2176" s="22"/>
      <c r="P2176" s="22"/>
    </row>
    <row r="2177" spans="11:16" s="1" customFormat="1" x14ac:dyDescent="0.25">
      <c r="K2177" s="28"/>
      <c r="L2177" s="28"/>
      <c r="N2177" s="22"/>
      <c r="O2177" s="22"/>
      <c r="P2177" s="22"/>
    </row>
    <row r="2178" spans="11:16" s="1" customFormat="1" x14ac:dyDescent="0.25">
      <c r="K2178" s="28"/>
      <c r="L2178" s="28"/>
      <c r="N2178" s="22"/>
      <c r="O2178" s="22"/>
      <c r="P2178" s="22"/>
    </row>
    <row r="2179" spans="11:16" s="1" customFormat="1" x14ac:dyDescent="0.25">
      <c r="K2179" s="28"/>
      <c r="L2179" s="28"/>
      <c r="N2179" s="22"/>
      <c r="O2179" s="22"/>
      <c r="P2179" s="22"/>
    </row>
    <row r="2180" spans="11:16" s="1" customFormat="1" x14ac:dyDescent="0.25">
      <c r="K2180" s="28"/>
      <c r="L2180" s="28"/>
      <c r="N2180" s="22"/>
      <c r="O2180" s="22"/>
      <c r="P2180" s="22"/>
    </row>
    <row r="2181" spans="11:16" s="1" customFormat="1" x14ac:dyDescent="0.25">
      <c r="K2181" s="28"/>
      <c r="L2181" s="28"/>
      <c r="N2181" s="22"/>
      <c r="O2181" s="22"/>
      <c r="P2181" s="22"/>
    </row>
    <row r="2182" spans="11:16" s="1" customFormat="1" x14ac:dyDescent="0.25">
      <c r="K2182" s="28"/>
      <c r="L2182" s="28"/>
      <c r="N2182" s="22"/>
      <c r="O2182" s="22"/>
      <c r="P2182" s="22"/>
    </row>
    <row r="2183" spans="11:16" s="1" customFormat="1" x14ac:dyDescent="0.25">
      <c r="K2183" s="28"/>
      <c r="L2183" s="28"/>
      <c r="N2183" s="22"/>
      <c r="O2183" s="22"/>
      <c r="P2183" s="22"/>
    </row>
    <row r="2184" spans="11:16" s="1" customFormat="1" x14ac:dyDescent="0.25">
      <c r="K2184" s="28"/>
      <c r="L2184" s="28"/>
      <c r="N2184" s="22"/>
      <c r="O2184" s="22"/>
      <c r="P2184" s="22"/>
    </row>
    <row r="2185" spans="11:16" s="1" customFormat="1" x14ac:dyDescent="0.25">
      <c r="K2185" s="28"/>
      <c r="L2185" s="28"/>
      <c r="N2185" s="22"/>
      <c r="O2185" s="22"/>
      <c r="P2185" s="22"/>
    </row>
    <row r="2186" spans="11:16" s="1" customFormat="1" x14ac:dyDescent="0.25">
      <c r="K2186" s="28"/>
      <c r="L2186" s="28"/>
      <c r="N2186" s="22"/>
      <c r="O2186" s="22"/>
      <c r="P2186" s="22"/>
    </row>
    <row r="2187" spans="11:16" s="1" customFormat="1" x14ac:dyDescent="0.25">
      <c r="K2187" s="28"/>
      <c r="L2187" s="28"/>
      <c r="N2187" s="22"/>
      <c r="O2187" s="22"/>
      <c r="P2187" s="22"/>
    </row>
    <row r="2188" spans="11:16" s="1" customFormat="1" x14ac:dyDescent="0.25">
      <c r="K2188" s="28"/>
      <c r="L2188" s="28"/>
      <c r="N2188" s="22"/>
      <c r="O2188" s="22"/>
      <c r="P2188" s="22"/>
    </row>
    <row r="2189" spans="11:16" s="1" customFormat="1" x14ac:dyDescent="0.25">
      <c r="K2189" s="28"/>
      <c r="L2189" s="28"/>
      <c r="N2189" s="22"/>
      <c r="O2189" s="22"/>
      <c r="P2189" s="22"/>
    </row>
    <row r="2190" spans="11:16" s="1" customFormat="1" x14ac:dyDescent="0.25">
      <c r="K2190" s="28"/>
      <c r="L2190" s="28"/>
      <c r="N2190" s="22"/>
      <c r="O2190" s="22"/>
      <c r="P2190" s="22"/>
    </row>
    <row r="2191" spans="11:16" s="1" customFormat="1" x14ac:dyDescent="0.25">
      <c r="K2191" s="28"/>
      <c r="L2191" s="28"/>
      <c r="N2191" s="22"/>
      <c r="O2191" s="22"/>
      <c r="P2191" s="22"/>
    </row>
    <row r="2192" spans="11:16" s="1" customFormat="1" x14ac:dyDescent="0.25">
      <c r="K2192" s="28"/>
      <c r="L2192" s="28"/>
      <c r="N2192" s="22"/>
      <c r="O2192" s="22"/>
      <c r="P2192" s="22"/>
    </row>
    <row r="2193" spans="11:16" s="1" customFormat="1" x14ac:dyDescent="0.25">
      <c r="K2193" s="28"/>
      <c r="L2193" s="28"/>
      <c r="N2193" s="22"/>
      <c r="O2193" s="22"/>
      <c r="P2193" s="22"/>
    </row>
    <row r="2194" spans="11:16" s="1" customFormat="1" x14ac:dyDescent="0.25">
      <c r="K2194" s="28"/>
      <c r="L2194" s="28"/>
      <c r="N2194" s="22"/>
      <c r="O2194" s="22"/>
      <c r="P2194" s="22"/>
    </row>
    <row r="2195" spans="11:16" s="1" customFormat="1" x14ac:dyDescent="0.25">
      <c r="K2195" s="28"/>
      <c r="L2195" s="28"/>
      <c r="N2195" s="22"/>
      <c r="O2195" s="22"/>
      <c r="P2195" s="22"/>
    </row>
    <row r="2196" spans="11:16" s="1" customFormat="1" x14ac:dyDescent="0.25">
      <c r="K2196" s="28"/>
      <c r="L2196" s="28"/>
      <c r="N2196" s="22"/>
      <c r="O2196" s="22"/>
      <c r="P2196" s="22"/>
    </row>
    <row r="2197" spans="11:16" s="1" customFormat="1" x14ac:dyDescent="0.25">
      <c r="K2197" s="28"/>
      <c r="L2197" s="28"/>
      <c r="N2197" s="22"/>
      <c r="O2197" s="22"/>
      <c r="P2197" s="22"/>
    </row>
    <row r="2198" spans="11:16" s="1" customFormat="1" x14ac:dyDescent="0.25">
      <c r="K2198" s="28"/>
      <c r="L2198" s="28"/>
      <c r="N2198" s="22"/>
      <c r="O2198" s="22"/>
      <c r="P2198" s="22"/>
    </row>
    <row r="2199" spans="11:16" s="1" customFormat="1" x14ac:dyDescent="0.25">
      <c r="K2199" s="28"/>
      <c r="L2199" s="28"/>
      <c r="N2199" s="22"/>
      <c r="O2199" s="22"/>
      <c r="P2199" s="22"/>
    </row>
    <row r="2200" spans="11:16" s="1" customFormat="1" x14ac:dyDescent="0.25">
      <c r="K2200" s="28"/>
      <c r="L2200" s="28"/>
      <c r="N2200" s="22"/>
      <c r="O2200" s="22"/>
      <c r="P2200" s="22"/>
    </row>
    <row r="2201" spans="11:16" s="1" customFormat="1" x14ac:dyDescent="0.25">
      <c r="K2201" s="28"/>
      <c r="L2201" s="28"/>
      <c r="N2201" s="22"/>
      <c r="O2201" s="22"/>
      <c r="P2201" s="22"/>
    </row>
    <row r="2202" spans="11:16" s="1" customFormat="1" x14ac:dyDescent="0.25">
      <c r="K2202" s="28"/>
      <c r="L2202" s="28"/>
      <c r="N2202" s="22"/>
      <c r="O2202" s="22"/>
      <c r="P2202" s="22"/>
    </row>
    <row r="2203" spans="11:16" s="1" customFormat="1" x14ac:dyDescent="0.25">
      <c r="K2203" s="28"/>
      <c r="L2203" s="28"/>
      <c r="N2203" s="22"/>
      <c r="O2203" s="22"/>
      <c r="P2203" s="22"/>
    </row>
    <row r="2204" spans="11:16" s="1" customFormat="1" x14ac:dyDescent="0.25">
      <c r="K2204" s="28"/>
      <c r="L2204" s="28"/>
      <c r="N2204" s="22"/>
      <c r="O2204" s="22"/>
      <c r="P2204" s="22"/>
    </row>
    <row r="2205" spans="11:16" s="1" customFormat="1" x14ac:dyDescent="0.25">
      <c r="K2205" s="28"/>
      <c r="L2205" s="28"/>
      <c r="N2205" s="22"/>
      <c r="O2205" s="22"/>
      <c r="P2205" s="22"/>
    </row>
    <row r="2206" spans="11:16" s="1" customFormat="1" x14ac:dyDescent="0.25">
      <c r="K2206" s="28"/>
      <c r="L2206" s="28"/>
      <c r="N2206" s="22"/>
      <c r="O2206" s="22"/>
      <c r="P2206" s="22"/>
    </row>
    <row r="2207" spans="11:16" s="1" customFormat="1" x14ac:dyDescent="0.25">
      <c r="K2207" s="28"/>
      <c r="L2207" s="28"/>
      <c r="N2207" s="22"/>
      <c r="O2207" s="22"/>
      <c r="P2207" s="22"/>
    </row>
    <row r="2208" spans="11:16" s="1" customFormat="1" x14ac:dyDescent="0.25">
      <c r="K2208" s="28"/>
      <c r="L2208" s="28"/>
      <c r="N2208" s="22"/>
      <c r="O2208" s="22"/>
      <c r="P2208" s="22"/>
    </row>
    <row r="2209" spans="11:16" s="1" customFormat="1" x14ac:dyDescent="0.25">
      <c r="K2209" s="28"/>
      <c r="L2209" s="28"/>
      <c r="N2209" s="22"/>
      <c r="O2209" s="22"/>
      <c r="P2209" s="22"/>
    </row>
    <row r="2210" spans="11:16" s="1" customFormat="1" x14ac:dyDescent="0.25">
      <c r="K2210" s="28"/>
      <c r="L2210" s="28"/>
      <c r="N2210" s="22"/>
      <c r="O2210" s="22"/>
      <c r="P2210" s="22"/>
    </row>
    <row r="2211" spans="11:16" s="1" customFormat="1" x14ac:dyDescent="0.25">
      <c r="K2211" s="28"/>
      <c r="L2211" s="28"/>
      <c r="N2211" s="22"/>
      <c r="O2211" s="22"/>
      <c r="P2211" s="22"/>
    </row>
    <row r="2212" spans="11:16" s="1" customFormat="1" x14ac:dyDescent="0.25">
      <c r="K2212" s="28"/>
      <c r="L2212" s="28"/>
      <c r="N2212" s="22"/>
      <c r="O2212" s="22"/>
      <c r="P2212" s="22"/>
    </row>
    <row r="2213" spans="11:16" s="1" customFormat="1" x14ac:dyDescent="0.25">
      <c r="K2213" s="28"/>
      <c r="L2213" s="28"/>
      <c r="N2213" s="22"/>
      <c r="O2213" s="22"/>
      <c r="P2213" s="22"/>
    </row>
    <row r="2214" spans="11:16" s="1" customFormat="1" x14ac:dyDescent="0.25">
      <c r="K2214" s="28"/>
      <c r="L2214" s="28"/>
      <c r="N2214" s="22"/>
      <c r="O2214" s="22"/>
      <c r="P2214" s="22"/>
    </row>
    <row r="2215" spans="11:16" s="1" customFormat="1" x14ac:dyDescent="0.25">
      <c r="K2215" s="28"/>
      <c r="L2215" s="28"/>
      <c r="N2215" s="22"/>
      <c r="O2215" s="22"/>
      <c r="P2215" s="22"/>
    </row>
    <row r="2216" spans="11:16" s="1" customFormat="1" x14ac:dyDescent="0.25">
      <c r="K2216" s="28"/>
      <c r="L2216" s="28"/>
      <c r="N2216" s="22"/>
      <c r="O2216" s="22"/>
      <c r="P2216" s="22"/>
    </row>
    <row r="2217" spans="11:16" s="1" customFormat="1" x14ac:dyDescent="0.25">
      <c r="K2217" s="28"/>
      <c r="L2217" s="28"/>
      <c r="N2217" s="22"/>
      <c r="O2217" s="22"/>
      <c r="P2217" s="22"/>
    </row>
    <row r="2218" spans="11:16" s="1" customFormat="1" x14ac:dyDescent="0.25">
      <c r="K2218" s="28"/>
      <c r="L2218" s="28"/>
      <c r="N2218" s="22"/>
      <c r="O2218" s="22"/>
      <c r="P2218" s="22"/>
    </row>
    <row r="2219" spans="11:16" s="1" customFormat="1" x14ac:dyDescent="0.25">
      <c r="K2219" s="28"/>
      <c r="L2219" s="28"/>
      <c r="N2219" s="22"/>
      <c r="O2219" s="22"/>
      <c r="P2219" s="22"/>
    </row>
    <row r="2220" spans="11:16" s="1" customFormat="1" x14ac:dyDescent="0.25">
      <c r="K2220" s="28"/>
      <c r="L2220" s="28"/>
      <c r="N2220" s="22"/>
      <c r="O2220" s="22"/>
      <c r="P2220" s="22"/>
    </row>
    <row r="2221" spans="11:16" s="1" customFormat="1" x14ac:dyDescent="0.25">
      <c r="K2221" s="28"/>
      <c r="L2221" s="28"/>
      <c r="N2221" s="22"/>
      <c r="O2221" s="22"/>
      <c r="P2221" s="22"/>
    </row>
    <row r="2222" spans="11:16" s="1" customFormat="1" x14ac:dyDescent="0.25">
      <c r="K2222" s="28"/>
      <c r="L2222" s="28"/>
      <c r="N2222" s="22"/>
      <c r="O2222" s="22"/>
      <c r="P2222" s="22"/>
    </row>
    <row r="2223" spans="11:16" s="1" customFormat="1" x14ac:dyDescent="0.25">
      <c r="K2223" s="28"/>
      <c r="L2223" s="28"/>
      <c r="N2223" s="22"/>
      <c r="O2223" s="22"/>
      <c r="P2223" s="22"/>
    </row>
    <row r="2224" spans="11:16" s="1" customFormat="1" x14ac:dyDescent="0.25">
      <c r="K2224" s="28"/>
      <c r="L2224" s="28"/>
      <c r="N2224" s="22"/>
      <c r="O2224" s="22"/>
      <c r="P2224" s="22"/>
    </row>
    <row r="2225" spans="11:16" s="1" customFormat="1" x14ac:dyDescent="0.25">
      <c r="K2225" s="28"/>
      <c r="L2225" s="28"/>
      <c r="N2225" s="22"/>
      <c r="O2225" s="22"/>
      <c r="P2225" s="22"/>
    </row>
    <row r="2226" spans="11:16" s="1" customFormat="1" x14ac:dyDescent="0.25">
      <c r="K2226" s="28"/>
      <c r="L2226" s="28"/>
      <c r="N2226" s="22"/>
      <c r="O2226" s="22"/>
      <c r="P2226" s="22"/>
    </row>
    <row r="2227" spans="11:16" s="1" customFormat="1" x14ac:dyDescent="0.25">
      <c r="K2227" s="28"/>
      <c r="L2227" s="28"/>
      <c r="N2227" s="22"/>
      <c r="O2227" s="22"/>
      <c r="P2227" s="22"/>
    </row>
    <row r="2228" spans="11:16" s="1" customFormat="1" x14ac:dyDescent="0.25">
      <c r="K2228" s="28"/>
      <c r="L2228" s="28"/>
      <c r="N2228" s="22"/>
      <c r="O2228" s="22"/>
      <c r="P2228" s="22"/>
    </row>
    <row r="2229" spans="11:16" s="1" customFormat="1" x14ac:dyDescent="0.25">
      <c r="K2229" s="28"/>
      <c r="L2229" s="28"/>
      <c r="N2229" s="22"/>
      <c r="O2229" s="22"/>
      <c r="P2229" s="22"/>
    </row>
    <row r="2230" spans="11:16" s="1" customFormat="1" x14ac:dyDescent="0.25">
      <c r="K2230" s="28"/>
      <c r="L2230" s="28"/>
      <c r="N2230" s="22"/>
      <c r="O2230" s="22"/>
      <c r="P2230" s="22"/>
    </row>
    <row r="2231" spans="11:16" s="1" customFormat="1" x14ac:dyDescent="0.25">
      <c r="K2231" s="28"/>
      <c r="L2231" s="28"/>
      <c r="N2231" s="22"/>
      <c r="O2231" s="22"/>
      <c r="P2231" s="22"/>
    </row>
    <row r="2232" spans="11:16" s="1" customFormat="1" x14ac:dyDescent="0.25">
      <c r="K2232" s="28"/>
      <c r="L2232" s="28"/>
      <c r="N2232" s="22"/>
      <c r="O2232" s="22"/>
      <c r="P2232" s="22"/>
    </row>
    <row r="2233" spans="11:16" s="1" customFormat="1" x14ac:dyDescent="0.25">
      <c r="K2233" s="28"/>
      <c r="L2233" s="28"/>
      <c r="N2233" s="22"/>
      <c r="O2233" s="22"/>
      <c r="P2233" s="22"/>
    </row>
    <row r="2234" spans="11:16" s="1" customFormat="1" x14ac:dyDescent="0.25">
      <c r="K2234" s="28"/>
      <c r="L2234" s="28"/>
      <c r="N2234" s="22"/>
      <c r="O2234" s="22"/>
      <c r="P2234" s="22"/>
    </row>
    <row r="2235" spans="11:16" s="1" customFormat="1" x14ac:dyDescent="0.25">
      <c r="K2235" s="28"/>
      <c r="L2235" s="28"/>
      <c r="N2235" s="22"/>
      <c r="O2235" s="22"/>
      <c r="P2235" s="22"/>
    </row>
    <row r="2236" spans="11:16" s="1" customFormat="1" x14ac:dyDescent="0.25">
      <c r="K2236" s="28"/>
      <c r="L2236" s="28"/>
      <c r="N2236" s="22"/>
      <c r="O2236" s="22"/>
      <c r="P2236" s="22"/>
    </row>
    <row r="2237" spans="11:16" s="1" customFormat="1" x14ac:dyDescent="0.25">
      <c r="K2237" s="28"/>
      <c r="L2237" s="28"/>
      <c r="N2237" s="22"/>
      <c r="O2237" s="22"/>
      <c r="P2237" s="22"/>
    </row>
    <row r="2238" spans="11:16" s="1" customFormat="1" x14ac:dyDescent="0.25">
      <c r="K2238" s="28"/>
      <c r="L2238" s="28"/>
      <c r="N2238" s="22"/>
      <c r="O2238" s="22"/>
      <c r="P2238" s="22"/>
    </row>
    <row r="2239" spans="11:16" s="1" customFormat="1" x14ac:dyDescent="0.25">
      <c r="K2239" s="28"/>
      <c r="L2239" s="28"/>
      <c r="N2239" s="22"/>
      <c r="O2239" s="22"/>
      <c r="P2239" s="22"/>
    </row>
    <row r="2240" spans="11:16" s="1" customFormat="1" x14ac:dyDescent="0.25">
      <c r="K2240" s="28"/>
      <c r="L2240" s="28"/>
      <c r="N2240" s="22"/>
      <c r="O2240" s="22"/>
      <c r="P2240" s="22"/>
    </row>
    <row r="2241" spans="11:16" s="1" customFormat="1" x14ac:dyDescent="0.25">
      <c r="K2241" s="28"/>
      <c r="L2241" s="28"/>
      <c r="N2241" s="22"/>
      <c r="O2241" s="22"/>
      <c r="P2241" s="22"/>
    </row>
    <row r="2242" spans="11:16" s="1" customFormat="1" x14ac:dyDescent="0.25">
      <c r="K2242" s="28"/>
      <c r="L2242" s="28"/>
      <c r="N2242" s="22"/>
      <c r="O2242" s="22"/>
      <c r="P2242" s="22"/>
    </row>
    <row r="2243" spans="11:16" s="1" customFormat="1" x14ac:dyDescent="0.25">
      <c r="K2243" s="28"/>
      <c r="L2243" s="28"/>
      <c r="N2243" s="22"/>
      <c r="O2243" s="22"/>
      <c r="P2243" s="22"/>
    </row>
    <row r="2244" spans="11:16" s="1" customFormat="1" x14ac:dyDescent="0.25">
      <c r="K2244" s="28"/>
      <c r="L2244" s="28"/>
      <c r="N2244" s="22"/>
      <c r="O2244" s="22"/>
      <c r="P2244" s="22"/>
    </row>
    <row r="2245" spans="11:16" s="1" customFormat="1" x14ac:dyDescent="0.25">
      <c r="K2245" s="28"/>
      <c r="L2245" s="28"/>
      <c r="N2245" s="22"/>
      <c r="O2245" s="22"/>
      <c r="P2245" s="22"/>
    </row>
    <row r="2246" spans="11:16" s="1" customFormat="1" x14ac:dyDescent="0.25">
      <c r="K2246" s="28"/>
      <c r="L2246" s="28"/>
      <c r="N2246" s="22"/>
      <c r="O2246" s="22"/>
      <c r="P2246" s="22"/>
    </row>
    <row r="2247" spans="11:16" s="1" customFormat="1" x14ac:dyDescent="0.25">
      <c r="K2247" s="28"/>
      <c r="L2247" s="28"/>
      <c r="N2247" s="22"/>
      <c r="O2247" s="22"/>
      <c r="P2247" s="22"/>
    </row>
    <row r="2248" spans="11:16" s="1" customFormat="1" x14ac:dyDescent="0.25">
      <c r="K2248" s="28"/>
      <c r="L2248" s="28"/>
      <c r="N2248" s="22"/>
      <c r="O2248" s="22"/>
      <c r="P2248" s="22"/>
    </row>
    <row r="2249" spans="11:16" s="1" customFormat="1" x14ac:dyDescent="0.25">
      <c r="K2249" s="28"/>
      <c r="L2249" s="28"/>
      <c r="N2249" s="22"/>
      <c r="O2249" s="22"/>
      <c r="P2249" s="22"/>
    </row>
    <row r="2250" spans="11:16" s="1" customFormat="1" x14ac:dyDescent="0.25">
      <c r="K2250" s="28"/>
      <c r="L2250" s="28"/>
      <c r="N2250" s="22"/>
      <c r="O2250" s="22"/>
      <c r="P2250" s="22"/>
    </row>
    <row r="2251" spans="11:16" s="1" customFormat="1" x14ac:dyDescent="0.25">
      <c r="K2251" s="28"/>
      <c r="L2251" s="28"/>
      <c r="N2251" s="22"/>
      <c r="O2251" s="22"/>
      <c r="P2251" s="22"/>
    </row>
    <row r="2252" spans="11:16" s="1" customFormat="1" x14ac:dyDescent="0.25">
      <c r="K2252" s="28"/>
      <c r="L2252" s="28"/>
      <c r="N2252" s="22"/>
      <c r="O2252" s="22"/>
      <c r="P2252" s="22"/>
    </row>
    <row r="2253" spans="11:16" s="1" customFormat="1" x14ac:dyDescent="0.25">
      <c r="K2253" s="28"/>
      <c r="L2253" s="28"/>
      <c r="N2253" s="22"/>
      <c r="O2253" s="22"/>
      <c r="P2253" s="22"/>
    </row>
    <row r="2254" spans="11:16" s="1" customFormat="1" x14ac:dyDescent="0.25">
      <c r="K2254" s="28"/>
      <c r="L2254" s="28"/>
      <c r="N2254" s="22"/>
      <c r="O2254" s="22"/>
      <c r="P2254" s="22"/>
    </row>
    <row r="2255" spans="11:16" s="1" customFormat="1" x14ac:dyDescent="0.25">
      <c r="K2255" s="28"/>
      <c r="L2255" s="28"/>
      <c r="N2255" s="22"/>
      <c r="O2255" s="22"/>
      <c r="P2255" s="22"/>
    </row>
    <row r="2256" spans="11:16" s="1" customFormat="1" x14ac:dyDescent="0.25">
      <c r="K2256" s="28"/>
      <c r="L2256" s="28"/>
      <c r="N2256" s="22"/>
      <c r="O2256" s="22"/>
      <c r="P2256" s="22"/>
    </row>
    <row r="2257" spans="11:16" s="1" customFormat="1" x14ac:dyDescent="0.25">
      <c r="K2257" s="28"/>
      <c r="L2257" s="28"/>
      <c r="N2257" s="22"/>
      <c r="O2257" s="22"/>
      <c r="P2257" s="22"/>
    </row>
    <row r="2258" spans="11:16" s="1" customFormat="1" x14ac:dyDescent="0.25">
      <c r="K2258" s="28"/>
      <c r="L2258" s="28"/>
      <c r="N2258" s="22"/>
      <c r="O2258" s="22"/>
      <c r="P2258" s="22"/>
    </row>
    <row r="2259" spans="11:16" s="1" customFormat="1" x14ac:dyDescent="0.25">
      <c r="K2259" s="28"/>
      <c r="L2259" s="28"/>
      <c r="N2259" s="22"/>
      <c r="O2259" s="22"/>
      <c r="P2259" s="22"/>
    </row>
    <row r="2260" spans="11:16" s="1" customFormat="1" x14ac:dyDescent="0.25">
      <c r="K2260" s="28"/>
      <c r="L2260" s="28"/>
      <c r="N2260" s="22"/>
      <c r="O2260" s="22"/>
      <c r="P2260" s="22"/>
    </row>
    <row r="2261" spans="11:16" s="1" customFormat="1" x14ac:dyDescent="0.25">
      <c r="K2261" s="28"/>
      <c r="L2261" s="28"/>
      <c r="N2261" s="22"/>
      <c r="O2261" s="22"/>
      <c r="P2261" s="22"/>
    </row>
    <row r="2262" spans="11:16" s="1" customFormat="1" x14ac:dyDescent="0.25">
      <c r="K2262" s="28"/>
      <c r="L2262" s="28"/>
      <c r="N2262" s="22"/>
      <c r="O2262" s="22"/>
      <c r="P2262" s="22"/>
    </row>
    <row r="2263" spans="11:16" s="1" customFormat="1" x14ac:dyDescent="0.25">
      <c r="K2263" s="28"/>
      <c r="L2263" s="28"/>
      <c r="N2263" s="22"/>
      <c r="O2263" s="22"/>
      <c r="P2263" s="22"/>
    </row>
    <row r="2264" spans="11:16" s="1" customFormat="1" x14ac:dyDescent="0.25">
      <c r="K2264" s="28"/>
      <c r="L2264" s="28"/>
      <c r="N2264" s="22"/>
      <c r="O2264" s="22"/>
      <c r="P2264" s="22"/>
    </row>
    <row r="2265" spans="11:16" s="1" customFormat="1" x14ac:dyDescent="0.25">
      <c r="K2265" s="28"/>
      <c r="L2265" s="28"/>
      <c r="N2265" s="22"/>
      <c r="O2265" s="22"/>
      <c r="P2265" s="22"/>
    </row>
    <row r="2266" spans="11:16" s="1" customFormat="1" x14ac:dyDescent="0.25">
      <c r="K2266" s="28"/>
      <c r="L2266" s="28"/>
      <c r="N2266" s="22"/>
      <c r="O2266" s="22"/>
      <c r="P2266" s="22"/>
    </row>
    <row r="2267" spans="11:16" s="1" customFormat="1" x14ac:dyDescent="0.25">
      <c r="K2267" s="28"/>
      <c r="L2267" s="28"/>
      <c r="N2267" s="22"/>
      <c r="O2267" s="22"/>
      <c r="P2267" s="22"/>
    </row>
    <row r="2268" spans="11:16" s="1" customFormat="1" x14ac:dyDescent="0.25">
      <c r="K2268" s="28"/>
      <c r="L2268" s="28"/>
      <c r="N2268" s="22"/>
      <c r="O2268" s="22"/>
      <c r="P2268" s="22"/>
    </row>
    <row r="2269" spans="11:16" s="1" customFormat="1" x14ac:dyDescent="0.25">
      <c r="K2269" s="28"/>
      <c r="L2269" s="28"/>
      <c r="N2269" s="22"/>
      <c r="O2269" s="22"/>
      <c r="P2269" s="22"/>
    </row>
    <row r="2270" spans="11:16" s="1" customFormat="1" x14ac:dyDescent="0.25">
      <c r="K2270" s="28"/>
      <c r="L2270" s="28"/>
      <c r="N2270" s="22"/>
      <c r="O2270" s="22"/>
      <c r="P2270" s="22"/>
    </row>
    <row r="2271" spans="11:16" s="1" customFormat="1" x14ac:dyDescent="0.25">
      <c r="K2271" s="28"/>
      <c r="L2271" s="28"/>
      <c r="N2271" s="22"/>
      <c r="O2271" s="22"/>
      <c r="P2271" s="22"/>
    </row>
    <row r="2272" spans="11:16" s="1" customFormat="1" x14ac:dyDescent="0.25">
      <c r="K2272" s="28"/>
      <c r="L2272" s="28"/>
      <c r="N2272" s="22"/>
      <c r="O2272" s="22"/>
      <c r="P2272" s="22"/>
    </row>
    <row r="2273" spans="11:16" s="1" customFormat="1" x14ac:dyDescent="0.25">
      <c r="K2273" s="28"/>
      <c r="L2273" s="28"/>
      <c r="N2273" s="22"/>
      <c r="O2273" s="22"/>
      <c r="P2273" s="22"/>
    </row>
    <row r="2274" spans="11:16" s="1" customFormat="1" x14ac:dyDescent="0.25">
      <c r="K2274" s="28"/>
      <c r="L2274" s="28"/>
      <c r="N2274" s="22"/>
      <c r="O2274" s="22"/>
      <c r="P2274" s="22"/>
    </row>
    <row r="2275" spans="11:16" s="1" customFormat="1" x14ac:dyDescent="0.25">
      <c r="K2275" s="28"/>
      <c r="L2275" s="28"/>
      <c r="N2275" s="22"/>
      <c r="O2275" s="22"/>
      <c r="P2275" s="22"/>
    </row>
    <row r="2276" spans="11:16" s="1" customFormat="1" x14ac:dyDescent="0.25">
      <c r="K2276" s="28"/>
      <c r="L2276" s="28"/>
      <c r="N2276" s="22"/>
      <c r="O2276" s="22"/>
      <c r="P2276" s="22"/>
    </row>
    <row r="2277" spans="11:16" s="1" customFormat="1" x14ac:dyDescent="0.25">
      <c r="K2277" s="28"/>
      <c r="L2277" s="28"/>
      <c r="N2277" s="22"/>
      <c r="O2277" s="22"/>
      <c r="P2277" s="22"/>
    </row>
    <row r="2278" spans="11:16" s="1" customFormat="1" x14ac:dyDescent="0.25">
      <c r="K2278" s="28"/>
      <c r="L2278" s="28"/>
      <c r="N2278" s="22"/>
      <c r="O2278" s="22"/>
      <c r="P2278" s="22"/>
    </row>
    <row r="2279" spans="11:16" s="1" customFormat="1" x14ac:dyDescent="0.25">
      <c r="K2279" s="28"/>
      <c r="L2279" s="28"/>
      <c r="N2279" s="22"/>
      <c r="O2279" s="22"/>
      <c r="P2279" s="22"/>
    </row>
    <row r="2280" spans="11:16" s="1" customFormat="1" x14ac:dyDescent="0.25">
      <c r="K2280" s="28"/>
      <c r="L2280" s="28"/>
      <c r="N2280" s="22"/>
      <c r="O2280" s="22"/>
      <c r="P2280" s="22"/>
    </row>
    <row r="2281" spans="11:16" s="1" customFormat="1" x14ac:dyDescent="0.25">
      <c r="K2281" s="28"/>
      <c r="L2281" s="28"/>
      <c r="N2281" s="22"/>
      <c r="O2281" s="22"/>
      <c r="P2281" s="22"/>
    </row>
    <row r="2282" spans="11:16" s="1" customFormat="1" x14ac:dyDescent="0.25">
      <c r="K2282" s="28"/>
      <c r="L2282" s="28"/>
      <c r="N2282" s="22"/>
      <c r="O2282" s="22"/>
      <c r="P2282" s="22"/>
    </row>
    <row r="2283" spans="11:16" s="1" customFormat="1" x14ac:dyDescent="0.25">
      <c r="K2283" s="28"/>
      <c r="L2283" s="28"/>
      <c r="N2283" s="22"/>
      <c r="O2283" s="22"/>
      <c r="P2283" s="22"/>
    </row>
    <row r="2284" spans="11:16" s="1" customFormat="1" x14ac:dyDescent="0.25">
      <c r="K2284" s="28"/>
      <c r="L2284" s="28"/>
      <c r="N2284" s="22"/>
      <c r="O2284" s="22"/>
      <c r="P2284" s="22"/>
    </row>
    <row r="2285" spans="11:16" s="1" customFormat="1" x14ac:dyDescent="0.25">
      <c r="K2285" s="28"/>
      <c r="L2285" s="28"/>
      <c r="N2285" s="22"/>
      <c r="O2285" s="22"/>
      <c r="P2285" s="22"/>
    </row>
    <row r="2286" spans="11:16" s="1" customFormat="1" x14ac:dyDescent="0.25">
      <c r="K2286" s="28"/>
      <c r="L2286" s="28"/>
      <c r="N2286" s="22"/>
      <c r="O2286" s="22"/>
      <c r="P2286" s="22"/>
    </row>
    <row r="2287" spans="11:16" s="1" customFormat="1" x14ac:dyDescent="0.25">
      <c r="K2287" s="28"/>
      <c r="L2287" s="28"/>
      <c r="N2287" s="22"/>
      <c r="O2287" s="22"/>
      <c r="P2287" s="22"/>
    </row>
    <row r="2288" spans="11:16" s="1" customFormat="1" x14ac:dyDescent="0.25">
      <c r="K2288" s="28"/>
      <c r="L2288" s="28"/>
      <c r="N2288" s="22"/>
      <c r="O2288" s="22"/>
      <c r="P2288" s="22"/>
    </row>
    <row r="2289" spans="11:16" s="1" customFormat="1" x14ac:dyDescent="0.25">
      <c r="K2289" s="28"/>
      <c r="L2289" s="28"/>
      <c r="N2289" s="22"/>
      <c r="O2289" s="22"/>
      <c r="P2289" s="22"/>
    </row>
    <row r="2290" spans="11:16" s="1" customFormat="1" x14ac:dyDescent="0.25">
      <c r="K2290" s="28"/>
      <c r="L2290" s="28"/>
      <c r="N2290" s="22"/>
      <c r="O2290" s="22"/>
      <c r="P2290" s="22"/>
    </row>
    <row r="2291" spans="11:16" s="1" customFormat="1" x14ac:dyDescent="0.25">
      <c r="K2291" s="28"/>
      <c r="L2291" s="28"/>
      <c r="N2291" s="22"/>
      <c r="O2291" s="22"/>
      <c r="P2291" s="22"/>
    </row>
    <row r="2292" spans="11:16" s="1" customFormat="1" x14ac:dyDescent="0.25">
      <c r="K2292" s="28"/>
      <c r="L2292" s="28"/>
      <c r="N2292" s="22"/>
      <c r="O2292" s="22"/>
      <c r="P2292" s="22"/>
    </row>
    <row r="2293" spans="11:16" s="1" customFormat="1" x14ac:dyDescent="0.25">
      <c r="K2293" s="28"/>
      <c r="L2293" s="28"/>
      <c r="N2293" s="22"/>
      <c r="O2293" s="22"/>
      <c r="P2293" s="22"/>
    </row>
    <row r="2294" spans="11:16" s="1" customFormat="1" x14ac:dyDescent="0.25">
      <c r="K2294" s="28"/>
      <c r="L2294" s="28"/>
      <c r="N2294" s="22"/>
      <c r="O2294" s="22"/>
      <c r="P2294" s="22"/>
    </row>
    <row r="2295" spans="11:16" s="1" customFormat="1" x14ac:dyDescent="0.25">
      <c r="K2295" s="28"/>
      <c r="L2295" s="28"/>
      <c r="N2295" s="22"/>
      <c r="O2295" s="22"/>
      <c r="P2295" s="22"/>
    </row>
    <row r="2296" spans="11:16" s="1" customFormat="1" x14ac:dyDescent="0.25">
      <c r="K2296" s="28"/>
      <c r="L2296" s="28"/>
      <c r="N2296" s="22"/>
      <c r="O2296" s="22"/>
      <c r="P2296" s="22"/>
    </row>
    <row r="2297" spans="11:16" s="1" customFormat="1" x14ac:dyDescent="0.25">
      <c r="K2297" s="28"/>
      <c r="L2297" s="28"/>
      <c r="N2297" s="22"/>
      <c r="O2297" s="22"/>
      <c r="P2297" s="22"/>
    </row>
    <row r="2298" spans="11:16" s="1" customFormat="1" x14ac:dyDescent="0.25">
      <c r="K2298" s="28"/>
      <c r="L2298" s="28"/>
      <c r="N2298" s="22"/>
      <c r="O2298" s="22"/>
      <c r="P2298" s="22"/>
    </row>
    <row r="2299" spans="11:16" s="1" customFormat="1" x14ac:dyDescent="0.25">
      <c r="K2299" s="28"/>
      <c r="L2299" s="28"/>
      <c r="N2299" s="22"/>
      <c r="O2299" s="22"/>
      <c r="P2299" s="22"/>
    </row>
    <row r="2300" spans="11:16" s="1" customFormat="1" x14ac:dyDescent="0.25">
      <c r="K2300" s="28"/>
      <c r="L2300" s="28"/>
      <c r="N2300" s="22"/>
      <c r="O2300" s="22"/>
      <c r="P2300" s="22"/>
    </row>
    <row r="2301" spans="11:16" s="1" customFormat="1" x14ac:dyDescent="0.25">
      <c r="K2301" s="28"/>
      <c r="L2301" s="28"/>
      <c r="N2301" s="22"/>
      <c r="O2301" s="22"/>
      <c r="P2301" s="22"/>
    </row>
    <row r="2302" spans="11:16" s="1" customFormat="1" x14ac:dyDescent="0.25">
      <c r="K2302" s="28"/>
      <c r="L2302" s="28"/>
      <c r="N2302" s="22"/>
      <c r="O2302" s="22"/>
      <c r="P2302" s="22"/>
    </row>
    <row r="2303" spans="11:16" s="1" customFormat="1" x14ac:dyDescent="0.25">
      <c r="K2303" s="28"/>
      <c r="L2303" s="28"/>
      <c r="N2303" s="22"/>
      <c r="O2303" s="22"/>
      <c r="P2303" s="22"/>
    </row>
    <row r="2304" spans="11:16" s="1" customFormat="1" x14ac:dyDescent="0.25">
      <c r="K2304" s="28"/>
      <c r="L2304" s="28"/>
      <c r="N2304" s="22"/>
      <c r="O2304" s="22"/>
      <c r="P2304" s="22"/>
    </row>
    <row r="2305" spans="11:16" s="1" customFormat="1" x14ac:dyDescent="0.25">
      <c r="K2305" s="28"/>
      <c r="L2305" s="28"/>
      <c r="N2305" s="22"/>
      <c r="O2305" s="22"/>
      <c r="P2305" s="22"/>
    </row>
    <row r="2306" spans="11:16" s="1" customFormat="1" x14ac:dyDescent="0.25">
      <c r="K2306" s="28"/>
      <c r="L2306" s="28"/>
      <c r="N2306" s="22"/>
      <c r="O2306" s="22"/>
      <c r="P2306" s="22"/>
    </row>
    <row r="2307" spans="11:16" s="1" customFormat="1" x14ac:dyDescent="0.25">
      <c r="K2307" s="28"/>
      <c r="L2307" s="28"/>
      <c r="N2307" s="22"/>
      <c r="O2307" s="22"/>
      <c r="P2307" s="22"/>
    </row>
    <row r="2308" spans="11:16" s="1" customFormat="1" x14ac:dyDescent="0.25">
      <c r="K2308" s="28"/>
      <c r="L2308" s="28"/>
      <c r="N2308" s="22"/>
      <c r="O2308" s="22"/>
      <c r="P2308" s="22"/>
    </row>
    <row r="2309" spans="11:16" s="1" customFormat="1" x14ac:dyDescent="0.25">
      <c r="K2309" s="28"/>
      <c r="L2309" s="28"/>
      <c r="N2309" s="22"/>
      <c r="O2309" s="22"/>
      <c r="P2309" s="22"/>
    </row>
    <row r="2310" spans="11:16" s="1" customFormat="1" x14ac:dyDescent="0.25">
      <c r="K2310" s="28"/>
      <c r="L2310" s="28"/>
      <c r="N2310" s="22"/>
      <c r="O2310" s="22"/>
      <c r="P2310" s="22"/>
    </row>
    <row r="2311" spans="11:16" s="1" customFormat="1" x14ac:dyDescent="0.25">
      <c r="K2311" s="28"/>
      <c r="L2311" s="28"/>
      <c r="N2311" s="22"/>
      <c r="O2311" s="22"/>
      <c r="P2311" s="22"/>
    </row>
    <row r="2312" spans="11:16" s="1" customFormat="1" x14ac:dyDescent="0.25">
      <c r="K2312" s="28"/>
      <c r="L2312" s="28"/>
      <c r="N2312" s="22"/>
      <c r="O2312" s="22"/>
      <c r="P2312" s="22"/>
    </row>
    <row r="2313" spans="11:16" s="1" customFormat="1" x14ac:dyDescent="0.25">
      <c r="K2313" s="28"/>
      <c r="L2313" s="28"/>
      <c r="N2313" s="22"/>
      <c r="O2313" s="22"/>
      <c r="P2313" s="22"/>
    </row>
    <row r="2314" spans="11:16" s="1" customFormat="1" x14ac:dyDescent="0.25">
      <c r="K2314" s="28"/>
      <c r="L2314" s="28"/>
      <c r="N2314" s="22"/>
      <c r="O2314" s="22"/>
      <c r="P2314" s="22"/>
    </row>
    <row r="2315" spans="11:16" s="1" customFormat="1" x14ac:dyDescent="0.25">
      <c r="K2315" s="28"/>
      <c r="L2315" s="28"/>
      <c r="N2315" s="22"/>
      <c r="O2315" s="22"/>
      <c r="P2315" s="22"/>
    </row>
    <row r="2316" spans="11:16" s="1" customFormat="1" x14ac:dyDescent="0.25">
      <c r="K2316" s="28"/>
      <c r="L2316" s="28"/>
      <c r="N2316" s="22"/>
      <c r="O2316" s="22"/>
      <c r="P2316" s="22"/>
    </row>
    <row r="2317" spans="11:16" s="1" customFormat="1" x14ac:dyDescent="0.25">
      <c r="K2317" s="28"/>
      <c r="L2317" s="28"/>
      <c r="N2317" s="22"/>
      <c r="O2317" s="22"/>
      <c r="P2317" s="22"/>
    </row>
    <row r="2318" spans="11:16" s="1" customFormat="1" x14ac:dyDescent="0.25">
      <c r="K2318" s="28"/>
      <c r="L2318" s="28"/>
      <c r="N2318" s="22"/>
      <c r="O2318" s="22"/>
      <c r="P2318" s="22"/>
    </row>
    <row r="2319" spans="11:16" s="1" customFormat="1" x14ac:dyDescent="0.25">
      <c r="K2319" s="28"/>
      <c r="L2319" s="28"/>
      <c r="N2319" s="22"/>
      <c r="O2319" s="22"/>
      <c r="P2319" s="22"/>
    </row>
    <row r="2320" spans="11:16" s="1" customFormat="1" x14ac:dyDescent="0.25">
      <c r="K2320" s="28"/>
      <c r="L2320" s="28"/>
      <c r="N2320" s="22"/>
      <c r="O2320" s="22"/>
      <c r="P2320" s="22"/>
    </row>
    <row r="2321" spans="11:16" s="1" customFormat="1" x14ac:dyDescent="0.25">
      <c r="K2321" s="28"/>
      <c r="L2321" s="28"/>
      <c r="N2321" s="22"/>
      <c r="O2321" s="22"/>
      <c r="P2321" s="22"/>
    </row>
    <row r="2322" spans="11:16" s="1" customFormat="1" x14ac:dyDescent="0.25">
      <c r="K2322" s="28"/>
      <c r="L2322" s="28"/>
      <c r="N2322" s="22"/>
      <c r="O2322" s="22"/>
      <c r="P2322" s="22"/>
    </row>
    <row r="2323" spans="11:16" s="1" customFormat="1" x14ac:dyDescent="0.25">
      <c r="K2323" s="28"/>
      <c r="L2323" s="28"/>
      <c r="N2323" s="22"/>
      <c r="O2323" s="22"/>
      <c r="P2323" s="22"/>
    </row>
    <row r="2324" spans="11:16" s="1" customFormat="1" x14ac:dyDescent="0.25">
      <c r="K2324" s="28"/>
      <c r="L2324" s="28"/>
      <c r="N2324" s="22"/>
      <c r="O2324" s="22"/>
      <c r="P2324" s="22"/>
    </row>
    <row r="2325" spans="11:16" s="1" customFormat="1" x14ac:dyDescent="0.25">
      <c r="K2325" s="28"/>
      <c r="L2325" s="28"/>
      <c r="N2325" s="22"/>
      <c r="O2325" s="22"/>
      <c r="P2325" s="22"/>
    </row>
    <row r="2326" spans="11:16" s="1" customFormat="1" x14ac:dyDescent="0.25">
      <c r="K2326" s="28"/>
      <c r="L2326" s="28"/>
      <c r="N2326" s="22"/>
      <c r="O2326" s="22"/>
      <c r="P2326" s="22"/>
    </row>
    <row r="2327" spans="11:16" s="1" customFormat="1" x14ac:dyDescent="0.25">
      <c r="K2327" s="28"/>
      <c r="L2327" s="28"/>
      <c r="N2327" s="22"/>
      <c r="O2327" s="22"/>
      <c r="P2327" s="22"/>
    </row>
    <row r="2328" spans="11:16" s="1" customFormat="1" x14ac:dyDescent="0.25">
      <c r="K2328" s="28"/>
      <c r="L2328" s="28"/>
      <c r="N2328" s="22"/>
      <c r="O2328" s="22"/>
      <c r="P2328" s="22"/>
    </row>
    <row r="2329" spans="11:16" s="1" customFormat="1" x14ac:dyDescent="0.25">
      <c r="K2329" s="28"/>
      <c r="L2329" s="28"/>
      <c r="N2329" s="22"/>
      <c r="O2329" s="22"/>
      <c r="P2329" s="22"/>
    </row>
    <row r="2330" spans="11:16" s="1" customFormat="1" x14ac:dyDescent="0.25">
      <c r="K2330" s="28"/>
      <c r="L2330" s="28"/>
      <c r="N2330" s="22"/>
      <c r="O2330" s="22"/>
      <c r="P2330" s="22"/>
    </row>
    <row r="2331" spans="11:16" s="1" customFormat="1" x14ac:dyDescent="0.25">
      <c r="K2331" s="28"/>
      <c r="L2331" s="28"/>
      <c r="N2331" s="22"/>
      <c r="O2331" s="22"/>
      <c r="P2331" s="22"/>
    </row>
    <row r="2332" spans="11:16" s="1" customFormat="1" x14ac:dyDescent="0.25">
      <c r="K2332" s="28"/>
      <c r="L2332" s="28"/>
      <c r="N2332" s="22"/>
      <c r="O2332" s="22"/>
      <c r="P2332" s="22"/>
    </row>
    <row r="2333" spans="11:16" s="1" customFormat="1" x14ac:dyDescent="0.25">
      <c r="K2333" s="28"/>
      <c r="L2333" s="28"/>
      <c r="N2333" s="22"/>
      <c r="O2333" s="22"/>
      <c r="P2333" s="22"/>
    </row>
    <row r="2334" spans="11:16" s="1" customFormat="1" x14ac:dyDescent="0.25">
      <c r="K2334" s="28"/>
      <c r="L2334" s="28"/>
      <c r="N2334" s="22"/>
      <c r="O2334" s="22"/>
      <c r="P2334" s="22"/>
    </row>
    <row r="2335" spans="11:16" s="1" customFormat="1" x14ac:dyDescent="0.25">
      <c r="K2335" s="28"/>
      <c r="L2335" s="28"/>
      <c r="N2335" s="22"/>
      <c r="O2335" s="22"/>
      <c r="P2335" s="22"/>
    </row>
    <row r="2336" spans="11:16" s="1" customFormat="1" x14ac:dyDescent="0.25">
      <c r="K2336" s="28"/>
      <c r="L2336" s="28"/>
      <c r="N2336" s="22"/>
      <c r="O2336" s="22"/>
      <c r="P2336" s="22"/>
    </row>
    <row r="2337" spans="11:16" s="1" customFormat="1" x14ac:dyDescent="0.25">
      <c r="K2337" s="28"/>
      <c r="L2337" s="28"/>
      <c r="N2337" s="22"/>
      <c r="O2337" s="22"/>
      <c r="P2337" s="22"/>
    </row>
    <row r="2338" spans="11:16" s="1" customFormat="1" x14ac:dyDescent="0.25">
      <c r="K2338" s="28"/>
      <c r="L2338" s="28"/>
      <c r="N2338" s="22"/>
      <c r="O2338" s="22"/>
      <c r="P2338" s="22"/>
    </row>
    <row r="2339" spans="11:16" s="1" customFormat="1" x14ac:dyDescent="0.25">
      <c r="K2339" s="28"/>
      <c r="L2339" s="28"/>
      <c r="N2339" s="22"/>
      <c r="O2339" s="22"/>
      <c r="P2339" s="22"/>
    </row>
    <row r="2340" spans="11:16" s="1" customFormat="1" x14ac:dyDescent="0.25">
      <c r="K2340" s="28"/>
      <c r="L2340" s="28"/>
      <c r="N2340" s="22"/>
      <c r="O2340" s="22"/>
      <c r="P2340" s="22"/>
    </row>
    <row r="2341" spans="11:16" s="1" customFormat="1" x14ac:dyDescent="0.25">
      <c r="K2341" s="28"/>
      <c r="L2341" s="28"/>
      <c r="N2341" s="22"/>
      <c r="O2341" s="22"/>
      <c r="P2341" s="22"/>
    </row>
    <row r="2342" spans="11:16" s="1" customFormat="1" x14ac:dyDescent="0.25">
      <c r="K2342" s="28"/>
      <c r="L2342" s="28"/>
      <c r="N2342" s="22"/>
      <c r="O2342" s="22"/>
      <c r="P2342" s="22"/>
    </row>
    <row r="2343" spans="11:16" s="1" customFormat="1" x14ac:dyDescent="0.25">
      <c r="K2343" s="28"/>
      <c r="L2343" s="28"/>
      <c r="N2343" s="22"/>
      <c r="O2343" s="22"/>
      <c r="P2343" s="22"/>
    </row>
    <row r="2344" spans="11:16" s="1" customFormat="1" x14ac:dyDescent="0.25">
      <c r="K2344" s="28"/>
      <c r="L2344" s="28"/>
      <c r="N2344" s="22"/>
      <c r="O2344" s="22"/>
      <c r="P2344" s="22"/>
    </row>
    <row r="2345" spans="11:16" s="1" customFormat="1" x14ac:dyDescent="0.25">
      <c r="K2345" s="28"/>
      <c r="L2345" s="28"/>
      <c r="N2345" s="22"/>
      <c r="O2345" s="22"/>
      <c r="P2345" s="22"/>
    </row>
    <row r="2346" spans="11:16" s="1" customFormat="1" x14ac:dyDescent="0.25">
      <c r="K2346" s="28"/>
      <c r="L2346" s="28"/>
      <c r="N2346" s="22"/>
      <c r="O2346" s="22"/>
      <c r="P2346" s="22"/>
    </row>
    <row r="2347" spans="11:16" s="1" customFormat="1" x14ac:dyDescent="0.25">
      <c r="K2347" s="28"/>
      <c r="L2347" s="28"/>
      <c r="N2347" s="22"/>
      <c r="O2347" s="22"/>
      <c r="P2347" s="22"/>
    </row>
    <row r="2348" spans="11:16" s="1" customFormat="1" x14ac:dyDescent="0.25">
      <c r="K2348" s="28"/>
      <c r="L2348" s="28"/>
      <c r="N2348" s="22"/>
      <c r="O2348" s="22"/>
      <c r="P2348" s="22"/>
    </row>
    <row r="2349" spans="11:16" s="1" customFormat="1" x14ac:dyDescent="0.25">
      <c r="K2349" s="28"/>
      <c r="L2349" s="28"/>
      <c r="N2349" s="22"/>
      <c r="O2349" s="22"/>
      <c r="P2349" s="22"/>
    </row>
    <row r="2350" spans="11:16" s="1" customFormat="1" x14ac:dyDescent="0.25">
      <c r="K2350" s="28"/>
      <c r="L2350" s="28"/>
      <c r="N2350" s="22"/>
      <c r="O2350" s="22"/>
      <c r="P2350" s="22"/>
    </row>
    <row r="2351" spans="11:16" s="1" customFormat="1" x14ac:dyDescent="0.25">
      <c r="K2351" s="28"/>
      <c r="L2351" s="28"/>
      <c r="N2351" s="22"/>
      <c r="O2351" s="22"/>
      <c r="P2351" s="22"/>
    </row>
    <row r="2352" spans="11:16" s="1" customFormat="1" x14ac:dyDescent="0.25">
      <c r="K2352" s="28"/>
      <c r="L2352" s="28"/>
      <c r="N2352" s="22"/>
      <c r="O2352" s="22"/>
      <c r="P2352" s="22"/>
    </row>
    <row r="2353" spans="11:16" s="1" customFormat="1" x14ac:dyDescent="0.25">
      <c r="K2353" s="28"/>
      <c r="L2353" s="28"/>
      <c r="N2353" s="22"/>
      <c r="O2353" s="22"/>
      <c r="P2353" s="22"/>
    </row>
    <row r="2354" spans="11:16" s="1" customFormat="1" x14ac:dyDescent="0.25">
      <c r="K2354" s="28"/>
      <c r="L2354" s="28"/>
      <c r="N2354" s="22"/>
      <c r="O2354" s="22"/>
      <c r="P2354" s="22"/>
    </row>
    <row r="2355" spans="11:16" s="1" customFormat="1" x14ac:dyDescent="0.25">
      <c r="K2355" s="28"/>
      <c r="L2355" s="28"/>
      <c r="N2355" s="22"/>
      <c r="O2355" s="22"/>
      <c r="P2355" s="22"/>
    </row>
    <row r="2356" spans="11:16" s="1" customFormat="1" x14ac:dyDescent="0.25">
      <c r="K2356" s="28"/>
      <c r="L2356" s="28"/>
      <c r="N2356" s="22"/>
      <c r="O2356" s="22"/>
      <c r="P2356" s="22"/>
    </row>
    <row r="2357" spans="11:16" s="1" customFormat="1" x14ac:dyDescent="0.25">
      <c r="K2357" s="28"/>
      <c r="L2357" s="28"/>
      <c r="N2357" s="22"/>
      <c r="O2357" s="22"/>
      <c r="P2357" s="22"/>
    </row>
    <row r="2358" spans="11:16" s="1" customFormat="1" x14ac:dyDescent="0.25">
      <c r="K2358" s="28"/>
      <c r="L2358" s="28"/>
      <c r="N2358" s="22"/>
      <c r="O2358" s="22"/>
      <c r="P2358" s="22"/>
    </row>
    <row r="2359" spans="11:16" s="1" customFormat="1" x14ac:dyDescent="0.25">
      <c r="K2359" s="28"/>
      <c r="L2359" s="28"/>
      <c r="N2359" s="22"/>
      <c r="O2359" s="22"/>
      <c r="P2359" s="22"/>
    </row>
    <row r="2360" spans="11:16" s="1" customFormat="1" x14ac:dyDescent="0.25">
      <c r="K2360" s="28"/>
      <c r="L2360" s="28"/>
      <c r="N2360" s="22"/>
      <c r="O2360" s="22"/>
      <c r="P2360" s="22"/>
    </row>
    <row r="2361" spans="11:16" s="1" customFormat="1" x14ac:dyDescent="0.25">
      <c r="K2361" s="28"/>
      <c r="L2361" s="28"/>
      <c r="N2361" s="22"/>
      <c r="O2361" s="22"/>
      <c r="P2361" s="22"/>
    </row>
    <row r="2362" spans="11:16" s="1" customFormat="1" x14ac:dyDescent="0.25">
      <c r="K2362" s="28"/>
      <c r="L2362" s="28"/>
      <c r="N2362" s="22"/>
      <c r="O2362" s="22"/>
      <c r="P2362" s="22"/>
    </row>
    <row r="2363" spans="11:16" s="1" customFormat="1" x14ac:dyDescent="0.25">
      <c r="K2363" s="28"/>
      <c r="L2363" s="28"/>
      <c r="N2363" s="22"/>
      <c r="O2363" s="22"/>
      <c r="P2363" s="22"/>
    </row>
    <row r="2364" spans="11:16" s="1" customFormat="1" x14ac:dyDescent="0.25">
      <c r="K2364" s="28"/>
      <c r="L2364" s="28"/>
      <c r="N2364" s="22"/>
      <c r="O2364" s="22"/>
      <c r="P2364" s="22"/>
    </row>
    <row r="2365" spans="11:16" s="1" customFormat="1" x14ac:dyDescent="0.25">
      <c r="K2365" s="28"/>
      <c r="L2365" s="28"/>
      <c r="N2365" s="22"/>
      <c r="O2365" s="22"/>
      <c r="P2365" s="22"/>
    </row>
    <row r="2366" spans="11:16" s="1" customFormat="1" x14ac:dyDescent="0.25">
      <c r="K2366" s="28"/>
      <c r="L2366" s="28"/>
      <c r="N2366" s="22"/>
      <c r="O2366" s="22"/>
      <c r="P2366" s="22"/>
    </row>
    <row r="2367" spans="11:16" s="1" customFormat="1" x14ac:dyDescent="0.25">
      <c r="K2367" s="28"/>
      <c r="L2367" s="28"/>
      <c r="N2367" s="22"/>
      <c r="O2367" s="22"/>
      <c r="P2367" s="22"/>
    </row>
    <row r="2368" spans="11:16" s="1" customFormat="1" x14ac:dyDescent="0.25">
      <c r="K2368" s="28"/>
      <c r="L2368" s="28"/>
      <c r="N2368" s="22"/>
      <c r="O2368" s="22"/>
      <c r="P2368" s="22"/>
    </row>
    <row r="2369" spans="11:16" s="1" customFormat="1" x14ac:dyDescent="0.25">
      <c r="K2369" s="28"/>
      <c r="L2369" s="28"/>
      <c r="N2369" s="22"/>
      <c r="O2369" s="22"/>
      <c r="P2369" s="22"/>
    </row>
    <row r="2370" spans="11:16" s="1" customFormat="1" x14ac:dyDescent="0.25">
      <c r="K2370" s="28"/>
      <c r="L2370" s="28"/>
      <c r="N2370" s="22"/>
      <c r="O2370" s="22"/>
      <c r="P2370" s="22"/>
    </row>
    <row r="2371" spans="11:16" s="1" customFormat="1" x14ac:dyDescent="0.25">
      <c r="K2371" s="28"/>
      <c r="L2371" s="28"/>
      <c r="N2371" s="22"/>
      <c r="O2371" s="22"/>
      <c r="P2371" s="22"/>
    </row>
    <row r="2372" spans="11:16" s="1" customFormat="1" x14ac:dyDescent="0.25">
      <c r="K2372" s="28"/>
      <c r="L2372" s="28"/>
      <c r="N2372" s="22"/>
      <c r="O2372" s="22"/>
      <c r="P2372" s="22"/>
    </row>
    <row r="2373" spans="11:16" s="1" customFormat="1" x14ac:dyDescent="0.25">
      <c r="K2373" s="28"/>
      <c r="L2373" s="28"/>
      <c r="N2373" s="22"/>
      <c r="O2373" s="22"/>
      <c r="P2373" s="22"/>
    </row>
    <row r="2374" spans="11:16" s="1" customFormat="1" x14ac:dyDescent="0.25">
      <c r="K2374" s="28"/>
      <c r="L2374" s="28"/>
      <c r="N2374" s="22"/>
      <c r="O2374" s="22"/>
      <c r="P2374" s="22"/>
    </row>
    <row r="2375" spans="11:16" s="1" customFormat="1" x14ac:dyDescent="0.25">
      <c r="K2375" s="28"/>
      <c r="L2375" s="28"/>
      <c r="N2375" s="22"/>
      <c r="O2375" s="22"/>
      <c r="P2375" s="22"/>
    </row>
    <row r="2376" spans="11:16" s="1" customFormat="1" x14ac:dyDescent="0.25">
      <c r="K2376" s="28"/>
      <c r="L2376" s="28"/>
      <c r="N2376" s="22"/>
      <c r="O2376" s="22"/>
      <c r="P2376" s="22"/>
    </row>
    <row r="2377" spans="11:16" s="1" customFormat="1" x14ac:dyDescent="0.25">
      <c r="K2377" s="28"/>
      <c r="L2377" s="28"/>
      <c r="N2377" s="22"/>
      <c r="O2377" s="22"/>
      <c r="P2377" s="22"/>
    </row>
    <row r="2378" spans="11:16" s="1" customFormat="1" x14ac:dyDescent="0.25">
      <c r="K2378" s="28"/>
      <c r="L2378" s="28"/>
      <c r="N2378" s="22"/>
      <c r="O2378" s="22"/>
      <c r="P2378" s="22"/>
    </row>
    <row r="2379" spans="11:16" s="1" customFormat="1" x14ac:dyDescent="0.25">
      <c r="K2379" s="28"/>
      <c r="L2379" s="28"/>
      <c r="N2379" s="22"/>
      <c r="O2379" s="22"/>
      <c r="P2379" s="22"/>
    </row>
    <row r="2380" spans="11:16" s="1" customFormat="1" x14ac:dyDescent="0.25">
      <c r="K2380" s="28"/>
      <c r="L2380" s="28"/>
      <c r="N2380" s="22"/>
      <c r="O2380" s="22"/>
      <c r="P2380" s="22"/>
    </row>
    <row r="2381" spans="11:16" s="1" customFormat="1" x14ac:dyDescent="0.25">
      <c r="K2381" s="28"/>
      <c r="L2381" s="28"/>
      <c r="N2381" s="22"/>
      <c r="O2381" s="22"/>
      <c r="P2381" s="22"/>
    </row>
    <row r="2382" spans="11:16" s="1" customFormat="1" x14ac:dyDescent="0.25">
      <c r="K2382" s="28"/>
      <c r="L2382" s="28"/>
      <c r="N2382" s="22"/>
      <c r="O2382" s="22"/>
      <c r="P2382" s="22"/>
    </row>
    <row r="2383" spans="11:16" s="1" customFormat="1" x14ac:dyDescent="0.25">
      <c r="K2383" s="28"/>
      <c r="L2383" s="28"/>
      <c r="N2383" s="22"/>
      <c r="O2383" s="22"/>
      <c r="P2383" s="22"/>
    </row>
    <row r="2384" spans="11:16" s="1" customFormat="1" x14ac:dyDescent="0.25">
      <c r="K2384" s="28"/>
      <c r="L2384" s="28"/>
      <c r="N2384" s="22"/>
      <c r="O2384" s="22"/>
      <c r="P2384" s="22"/>
    </row>
    <row r="2385" spans="11:16" s="1" customFormat="1" x14ac:dyDescent="0.25">
      <c r="K2385" s="28"/>
      <c r="L2385" s="28"/>
      <c r="N2385" s="22"/>
      <c r="O2385" s="22"/>
      <c r="P2385" s="22"/>
    </row>
    <row r="2386" spans="11:16" s="1" customFormat="1" x14ac:dyDescent="0.25">
      <c r="K2386" s="28"/>
      <c r="L2386" s="28"/>
      <c r="N2386" s="22"/>
      <c r="O2386" s="22"/>
      <c r="P2386" s="22"/>
    </row>
    <row r="2387" spans="11:16" s="1" customFormat="1" x14ac:dyDescent="0.25">
      <c r="K2387" s="28"/>
      <c r="L2387" s="28"/>
      <c r="N2387" s="22"/>
      <c r="O2387" s="22"/>
      <c r="P2387" s="22"/>
    </row>
    <row r="2388" spans="11:16" s="1" customFormat="1" x14ac:dyDescent="0.25">
      <c r="K2388" s="28"/>
      <c r="L2388" s="28"/>
      <c r="N2388" s="22"/>
      <c r="O2388" s="22"/>
      <c r="P2388" s="22"/>
    </row>
    <row r="2389" spans="11:16" s="1" customFormat="1" x14ac:dyDescent="0.25">
      <c r="K2389" s="28"/>
      <c r="L2389" s="28"/>
      <c r="N2389" s="22"/>
      <c r="O2389" s="22"/>
      <c r="P2389" s="22"/>
    </row>
    <row r="2390" spans="11:16" s="1" customFormat="1" x14ac:dyDescent="0.25">
      <c r="K2390" s="28"/>
      <c r="L2390" s="28"/>
      <c r="N2390" s="22"/>
      <c r="O2390" s="22"/>
      <c r="P2390" s="22"/>
    </row>
    <row r="2391" spans="11:16" s="1" customFormat="1" x14ac:dyDescent="0.25">
      <c r="K2391" s="28"/>
      <c r="L2391" s="28"/>
      <c r="N2391" s="22"/>
      <c r="O2391" s="22"/>
      <c r="P2391" s="22"/>
    </row>
    <row r="2392" spans="11:16" s="1" customFormat="1" x14ac:dyDescent="0.25">
      <c r="K2392" s="28"/>
      <c r="L2392" s="28"/>
      <c r="N2392" s="22"/>
      <c r="O2392" s="22"/>
      <c r="P2392" s="22"/>
    </row>
    <row r="2393" spans="11:16" s="1" customFormat="1" x14ac:dyDescent="0.25">
      <c r="K2393" s="28"/>
      <c r="L2393" s="28"/>
      <c r="N2393" s="22"/>
      <c r="O2393" s="22"/>
      <c r="P2393" s="22"/>
    </row>
    <row r="2394" spans="11:16" s="1" customFormat="1" x14ac:dyDescent="0.25">
      <c r="K2394" s="28"/>
      <c r="L2394" s="28"/>
      <c r="N2394" s="22"/>
      <c r="O2394" s="22"/>
      <c r="P2394" s="22"/>
    </row>
    <row r="2395" spans="11:16" s="1" customFormat="1" x14ac:dyDescent="0.25">
      <c r="K2395" s="28"/>
      <c r="L2395" s="28"/>
      <c r="N2395" s="22"/>
      <c r="O2395" s="22"/>
      <c r="P2395" s="22"/>
    </row>
    <row r="2396" spans="11:16" s="1" customFormat="1" x14ac:dyDescent="0.25">
      <c r="K2396" s="28"/>
      <c r="L2396" s="28"/>
      <c r="N2396" s="22"/>
      <c r="O2396" s="22"/>
      <c r="P2396" s="22"/>
    </row>
    <row r="2397" spans="11:16" s="1" customFormat="1" x14ac:dyDescent="0.25">
      <c r="K2397" s="28"/>
      <c r="L2397" s="28"/>
      <c r="N2397" s="22"/>
      <c r="O2397" s="22"/>
      <c r="P2397" s="22"/>
    </row>
    <row r="2398" spans="11:16" s="1" customFormat="1" x14ac:dyDescent="0.25">
      <c r="K2398" s="28"/>
      <c r="L2398" s="28"/>
      <c r="N2398" s="22"/>
      <c r="O2398" s="22"/>
      <c r="P2398" s="22"/>
    </row>
    <row r="2399" spans="11:16" s="1" customFormat="1" x14ac:dyDescent="0.25">
      <c r="K2399" s="28"/>
      <c r="L2399" s="28"/>
      <c r="N2399" s="22"/>
      <c r="O2399" s="22"/>
      <c r="P2399" s="22"/>
    </row>
    <row r="2400" spans="11:16" s="1" customFormat="1" x14ac:dyDescent="0.25">
      <c r="K2400" s="28"/>
      <c r="L2400" s="28"/>
      <c r="N2400" s="22"/>
      <c r="O2400" s="22"/>
      <c r="P2400" s="22"/>
    </row>
    <row r="2401" spans="11:16" s="1" customFormat="1" x14ac:dyDescent="0.25">
      <c r="K2401" s="28"/>
      <c r="L2401" s="28"/>
      <c r="N2401" s="22"/>
      <c r="O2401" s="22"/>
      <c r="P2401" s="22"/>
    </row>
    <row r="2402" spans="11:16" s="1" customFormat="1" x14ac:dyDescent="0.25">
      <c r="K2402" s="28"/>
      <c r="L2402" s="28"/>
      <c r="N2402" s="22"/>
      <c r="O2402" s="22"/>
      <c r="P2402" s="22"/>
    </row>
    <row r="2403" spans="11:16" s="1" customFormat="1" x14ac:dyDescent="0.25">
      <c r="K2403" s="28"/>
      <c r="L2403" s="28"/>
      <c r="N2403" s="22"/>
      <c r="O2403" s="22"/>
      <c r="P2403" s="22"/>
    </row>
    <row r="2404" spans="11:16" s="1" customFormat="1" x14ac:dyDescent="0.25">
      <c r="K2404" s="28"/>
      <c r="L2404" s="28"/>
      <c r="N2404" s="22"/>
      <c r="O2404" s="22"/>
      <c r="P2404" s="22"/>
    </row>
    <row r="2405" spans="11:16" s="1" customFormat="1" x14ac:dyDescent="0.25">
      <c r="K2405" s="28"/>
      <c r="L2405" s="28"/>
      <c r="N2405" s="22"/>
      <c r="O2405" s="22"/>
      <c r="P2405" s="22"/>
    </row>
    <row r="2406" spans="11:16" s="1" customFormat="1" x14ac:dyDescent="0.25">
      <c r="K2406" s="28"/>
      <c r="L2406" s="28"/>
      <c r="N2406" s="22"/>
      <c r="O2406" s="22"/>
      <c r="P2406" s="22"/>
    </row>
    <row r="2407" spans="11:16" s="1" customFormat="1" x14ac:dyDescent="0.25">
      <c r="K2407" s="28"/>
      <c r="L2407" s="28"/>
      <c r="N2407" s="22"/>
      <c r="O2407" s="22"/>
      <c r="P2407" s="22"/>
    </row>
    <row r="2408" spans="11:16" s="1" customFormat="1" x14ac:dyDescent="0.25">
      <c r="K2408" s="28"/>
      <c r="L2408" s="28"/>
      <c r="N2408" s="22"/>
      <c r="O2408" s="22"/>
      <c r="P2408" s="22"/>
    </row>
    <row r="2409" spans="11:16" s="1" customFormat="1" x14ac:dyDescent="0.25">
      <c r="K2409" s="28"/>
      <c r="L2409" s="28"/>
      <c r="N2409" s="22"/>
      <c r="O2409" s="22"/>
      <c r="P2409" s="22"/>
    </row>
    <row r="2410" spans="11:16" s="1" customFormat="1" x14ac:dyDescent="0.25">
      <c r="K2410" s="28"/>
      <c r="L2410" s="28"/>
      <c r="N2410" s="22"/>
      <c r="O2410" s="22"/>
      <c r="P2410" s="22"/>
    </row>
    <row r="2411" spans="11:16" s="1" customFormat="1" x14ac:dyDescent="0.25">
      <c r="K2411" s="28"/>
      <c r="L2411" s="28"/>
      <c r="N2411" s="22"/>
      <c r="O2411" s="22"/>
      <c r="P2411" s="22"/>
    </row>
    <row r="2412" spans="11:16" s="1" customFormat="1" x14ac:dyDescent="0.25">
      <c r="K2412" s="28"/>
      <c r="L2412" s="28"/>
      <c r="N2412" s="22"/>
      <c r="O2412" s="22"/>
      <c r="P2412" s="22"/>
    </row>
    <row r="2413" spans="11:16" s="1" customFormat="1" x14ac:dyDescent="0.25">
      <c r="K2413" s="28"/>
      <c r="L2413" s="28"/>
      <c r="N2413" s="22"/>
      <c r="O2413" s="22"/>
      <c r="P2413" s="22"/>
    </row>
    <row r="2414" spans="11:16" s="1" customFormat="1" x14ac:dyDescent="0.25">
      <c r="K2414" s="28"/>
      <c r="L2414" s="28"/>
      <c r="N2414" s="22"/>
      <c r="O2414" s="22"/>
      <c r="P2414" s="22"/>
    </row>
    <row r="2415" spans="11:16" s="1" customFormat="1" x14ac:dyDescent="0.25">
      <c r="K2415" s="28"/>
      <c r="L2415" s="28"/>
      <c r="N2415" s="22"/>
      <c r="O2415" s="22"/>
      <c r="P2415" s="22"/>
    </row>
    <row r="2416" spans="11:16" s="1" customFormat="1" x14ac:dyDescent="0.25">
      <c r="K2416" s="28"/>
      <c r="L2416" s="28"/>
      <c r="N2416" s="22"/>
      <c r="O2416" s="22"/>
      <c r="P2416" s="22"/>
    </row>
    <row r="2417" spans="11:16" s="1" customFormat="1" x14ac:dyDescent="0.25">
      <c r="K2417" s="28"/>
      <c r="L2417" s="28"/>
      <c r="N2417" s="22"/>
      <c r="O2417" s="22"/>
      <c r="P2417" s="22"/>
    </row>
    <row r="2418" spans="11:16" s="1" customFormat="1" x14ac:dyDescent="0.25">
      <c r="K2418" s="28"/>
      <c r="L2418" s="28"/>
      <c r="N2418" s="22"/>
      <c r="O2418" s="22"/>
      <c r="P2418" s="22"/>
    </row>
    <row r="2419" spans="11:16" s="1" customFormat="1" x14ac:dyDescent="0.25">
      <c r="K2419" s="28"/>
      <c r="L2419" s="28"/>
      <c r="N2419" s="22"/>
      <c r="O2419" s="22"/>
      <c r="P2419" s="22"/>
    </row>
    <row r="2420" spans="11:16" s="1" customFormat="1" x14ac:dyDescent="0.25">
      <c r="K2420" s="28"/>
      <c r="L2420" s="28"/>
      <c r="N2420" s="22"/>
      <c r="O2420" s="22"/>
      <c r="P2420" s="22"/>
    </row>
    <row r="2421" spans="11:16" s="1" customFormat="1" x14ac:dyDescent="0.25">
      <c r="K2421" s="28"/>
      <c r="L2421" s="28"/>
      <c r="N2421" s="22"/>
      <c r="O2421" s="22"/>
      <c r="P2421" s="22"/>
    </row>
    <row r="2422" spans="11:16" s="1" customFormat="1" x14ac:dyDescent="0.25">
      <c r="K2422" s="28"/>
      <c r="L2422" s="28"/>
      <c r="N2422" s="22"/>
      <c r="O2422" s="22"/>
      <c r="P2422" s="22"/>
    </row>
    <row r="2423" spans="11:16" s="1" customFormat="1" x14ac:dyDescent="0.25">
      <c r="K2423" s="28"/>
      <c r="L2423" s="28"/>
      <c r="N2423" s="22"/>
      <c r="O2423" s="22"/>
      <c r="P2423" s="22"/>
    </row>
    <row r="2424" spans="11:16" s="1" customFormat="1" x14ac:dyDescent="0.25">
      <c r="K2424" s="28"/>
      <c r="L2424" s="28"/>
      <c r="N2424" s="22"/>
      <c r="O2424" s="22"/>
      <c r="P2424" s="22"/>
    </row>
    <row r="2425" spans="11:16" s="1" customFormat="1" x14ac:dyDescent="0.25">
      <c r="K2425" s="28"/>
      <c r="L2425" s="28"/>
      <c r="N2425" s="22"/>
      <c r="O2425" s="22"/>
      <c r="P2425" s="22"/>
    </row>
    <row r="2426" spans="11:16" s="1" customFormat="1" x14ac:dyDescent="0.25">
      <c r="K2426" s="28"/>
      <c r="L2426" s="28"/>
      <c r="N2426" s="22"/>
      <c r="O2426" s="22"/>
      <c r="P2426" s="22"/>
    </row>
    <row r="2427" spans="11:16" s="1" customFormat="1" x14ac:dyDescent="0.25">
      <c r="K2427" s="28"/>
      <c r="L2427" s="28"/>
      <c r="N2427" s="22"/>
      <c r="O2427" s="22"/>
      <c r="P2427" s="22"/>
    </row>
    <row r="2428" spans="11:16" s="1" customFormat="1" x14ac:dyDescent="0.25">
      <c r="K2428" s="28"/>
      <c r="L2428" s="28"/>
      <c r="N2428" s="22"/>
      <c r="O2428" s="22"/>
      <c r="P2428" s="22"/>
    </row>
    <row r="2429" spans="11:16" s="1" customFormat="1" x14ac:dyDescent="0.25">
      <c r="K2429" s="28"/>
      <c r="L2429" s="28"/>
      <c r="N2429" s="22"/>
      <c r="O2429" s="22"/>
      <c r="P2429" s="22"/>
    </row>
    <row r="2430" spans="11:16" s="1" customFormat="1" x14ac:dyDescent="0.25">
      <c r="K2430" s="28"/>
      <c r="L2430" s="28"/>
      <c r="N2430" s="22"/>
      <c r="O2430" s="22"/>
      <c r="P2430" s="22"/>
    </row>
    <row r="2431" spans="11:16" s="1" customFormat="1" x14ac:dyDescent="0.25">
      <c r="K2431" s="28"/>
      <c r="L2431" s="28"/>
      <c r="N2431" s="22"/>
      <c r="O2431" s="22"/>
      <c r="P2431" s="22"/>
    </row>
    <row r="2432" spans="11:16" s="1" customFormat="1" x14ac:dyDescent="0.25">
      <c r="K2432" s="28"/>
      <c r="L2432" s="28"/>
      <c r="N2432" s="22"/>
      <c r="O2432" s="22"/>
      <c r="P2432" s="22"/>
    </row>
    <row r="2433" spans="11:16" s="1" customFormat="1" x14ac:dyDescent="0.25">
      <c r="K2433" s="28"/>
      <c r="L2433" s="28"/>
      <c r="N2433" s="22"/>
      <c r="O2433" s="22"/>
      <c r="P2433" s="22"/>
    </row>
    <row r="2434" spans="11:16" s="1" customFormat="1" x14ac:dyDescent="0.25">
      <c r="K2434" s="28"/>
      <c r="L2434" s="28"/>
      <c r="N2434" s="22"/>
      <c r="O2434" s="22"/>
      <c r="P2434" s="22"/>
    </row>
    <row r="2435" spans="11:16" s="1" customFormat="1" x14ac:dyDescent="0.25">
      <c r="K2435" s="28"/>
      <c r="L2435" s="28"/>
      <c r="N2435" s="22"/>
      <c r="O2435" s="22"/>
      <c r="P2435" s="22"/>
    </row>
    <row r="2436" spans="11:16" s="1" customFormat="1" x14ac:dyDescent="0.25">
      <c r="K2436" s="28"/>
      <c r="L2436" s="28"/>
      <c r="N2436" s="22"/>
      <c r="O2436" s="22"/>
      <c r="P2436" s="22"/>
    </row>
    <row r="2437" spans="11:16" s="1" customFormat="1" x14ac:dyDescent="0.25">
      <c r="K2437" s="28"/>
      <c r="L2437" s="28"/>
      <c r="N2437" s="22"/>
      <c r="O2437" s="22"/>
      <c r="P2437" s="22"/>
    </row>
    <row r="2438" spans="11:16" s="1" customFormat="1" x14ac:dyDescent="0.25">
      <c r="K2438" s="28"/>
      <c r="L2438" s="28"/>
      <c r="N2438" s="22"/>
      <c r="O2438" s="22"/>
      <c r="P2438" s="22"/>
    </row>
    <row r="2439" spans="11:16" s="1" customFormat="1" x14ac:dyDescent="0.25">
      <c r="K2439" s="28"/>
      <c r="L2439" s="28"/>
      <c r="N2439" s="22"/>
      <c r="O2439" s="22"/>
      <c r="P2439" s="22"/>
    </row>
    <row r="2440" spans="11:16" s="1" customFormat="1" x14ac:dyDescent="0.25">
      <c r="K2440" s="28"/>
      <c r="L2440" s="28"/>
      <c r="N2440" s="22"/>
      <c r="O2440" s="22"/>
      <c r="P2440" s="22"/>
    </row>
    <row r="2441" spans="11:16" s="1" customFormat="1" x14ac:dyDescent="0.25">
      <c r="K2441" s="28"/>
      <c r="L2441" s="28"/>
      <c r="N2441" s="22"/>
      <c r="O2441" s="22"/>
      <c r="P2441" s="22"/>
    </row>
    <row r="2442" spans="11:16" s="1" customFormat="1" x14ac:dyDescent="0.25">
      <c r="K2442" s="28"/>
      <c r="L2442" s="28"/>
      <c r="N2442" s="22"/>
      <c r="O2442" s="22"/>
      <c r="P2442" s="22"/>
    </row>
    <row r="2443" spans="11:16" s="1" customFormat="1" x14ac:dyDescent="0.25">
      <c r="K2443" s="28"/>
      <c r="L2443" s="28"/>
      <c r="N2443" s="22"/>
      <c r="O2443" s="22"/>
      <c r="P2443" s="22"/>
    </row>
    <row r="2444" spans="11:16" s="1" customFormat="1" x14ac:dyDescent="0.25">
      <c r="K2444" s="28"/>
      <c r="L2444" s="28"/>
      <c r="N2444" s="22"/>
      <c r="O2444" s="22"/>
      <c r="P2444" s="22"/>
    </row>
    <row r="2445" spans="11:16" s="1" customFormat="1" x14ac:dyDescent="0.25">
      <c r="K2445" s="28"/>
      <c r="L2445" s="28"/>
      <c r="N2445" s="22"/>
      <c r="O2445" s="22"/>
      <c r="P2445" s="22"/>
    </row>
    <row r="2446" spans="11:16" s="1" customFormat="1" x14ac:dyDescent="0.25">
      <c r="K2446" s="28"/>
      <c r="L2446" s="28"/>
      <c r="N2446" s="22"/>
      <c r="O2446" s="22"/>
      <c r="P2446" s="22"/>
    </row>
    <row r="2447" spans="11:16" s="1" customFormat="1" x14ac:dyDescent="0.25">
      <c r="K2447" s="28"/>
      <c r="L2447" s="28"/>
      <c r="N2447" s="22"/>
      <c r="O2447" s="22"/>
      <c r="P2447" s="22"/>
    </row>
    <row r="2448" spans="11:16" s="1" customFormat="1" x14ac:dyDescent="0.25">
      <c r="K2448" s="28"/>
      <c r="L2448" s="28"/>
      <c r="N2448" s="22"/>
      <c r="O2448" s="22"/>
      <c r="P2448" s="22"/>
    </row>
    <row r="2449" spans="11:16" s="1" customFormat="1" x14ac:dyDescent="0.25">
      <c r="K2449" s="28"/>
      <c r="L2449" s="28"/>
      <c r="N2449" s="22"/>
      <c r="O2449" s="22"/>
      <c r="P2449" s="22"/>
    </row>
    <row r="2450" spans="11:16" s="1" customFormat="1" x14ac:dyDescent="0.25">
      <c r="K2450" s="28"/>
      <c r="L2450" s="28"/>
      <c r="N2450" s="22"/>
      <c r="O2450" s="22"/>
      <c r="P2450" s="22"/>
    </row>
    <row r="2451" spans="11:16" s="1" customFormat="1" x14ac:dyDescent="0.25">
      <c r="K2451" s="28"/>
      <c r="L2451" s="28"/>
      <c r="N2451" s="22"/>
      <c r="O2451" s="22"/>
      <c r="P2451" s="22"/>
    </row>
    <row r="2452" spans="11:16" s="1" customFormat="1" x14ac:dyDescent="0.25">
      <c r="K2452" s="28"/>
      <c r="L2452" s="28"/>
      <c r="N2452" s="22"/>
      <c r="O2452" s="22"/>
      <c r="P2452" s="22"/>
    </row>
    <row r="2453" spans="11:16" s="1" customFormat="1" x14ac:dyDescent="0.25">
      <c r="K2453" s="28"/>
      <c r="L2453" s="28"/>
      <c r="N2453" s="22"/>
      <c r="O2453" s="22"/>
      <c r="P2453" s="22"/>
    </row>
    <row r="2454" spans="11:16" s="1" customFormat="1" x14ac:dyDescent="0.25">
      <c r="K2454" s="28"/>
      <c r="L2454" s="28"/>
      <c r="N2454" s="22"/>
      <c r="O2454" s="22"/>
      <c r="P2454" s="22"/>
    </row>
    <row r="2455" spans="11:16" s="1" customFormat="1" x14ac:dyDescent="0.25">
      <c r="K2455" s="28"/>
      <c r="L2455" s="28"/>
      <c r="N2455" s="22"/>
      <c r="O2455" s="22"/>
      <c r="P2455" s="22"/>
    </row>
    <row r="2456" spans="11:16" s="1" customFormat="1" x14ac:dyDescent="0.25">
      <c r="K2456" s="28"/>
      <c r="L2456" s="28"/>
      <c r="N2456" s="22"/>
      <c r="O2456" s="22"/>
      <c r="P2456" s="22"/>
    </row>
    <row r="2457" spans="11:16" s="1" customFormat="1" x14ac:dyDescent="0.25">
      <c r="K2457" s="28"/>
      <c r="L2457" s="28"/>
      <c r="N2457" s="22"/>
      <c r="O2457" s="22"/>
      <c r="P2457" s="22"/>
    </row>
    <row r="2458" spans="11:16" s="1" customFormat="1" x14ac:dyDescent="0.25">
      <c r="K2458" s="28"/>
      <c r="L2458" s="28"/>
      <c r="N2458" s="22"/>
      <c r="O2458" s="22"/>
      <c r="P2458" s="22"/>
    </row>
    <row r="2459" spans="11:16" s="1" customFormat="1" x14ac:dyDescent="0.25">
      <c r="K2459" s="28"/>
      <c r="L2459" s="28"/>
      <c r="N2459" s="22"/>
      <c r="O2459" s="22"/>
      <c r="P2459" s="22"/>
    </row>
    <row r="2460" spans="11:16" s="1" customFormat="1" x14ac:dyDescent="0.25">
      <c r="K2460" s="28"/>
      <c r="L2460" s="28"/>
      <c r="N2460" s="22"/>
      <c r="O2460" s="22"/>
      <c r="P2460" s="22"/>
    </row>
    <row r="2461" spans="11:16" s="1" customFormat="1" x14ac:dyDescent="0.25">
      <c r="K2461" s="28"/>
      <c r="L2461" s="28"/>
      <c r="N2461" s="22"/>
      <c r="O2461" s="22"/>
      <c r="P2461" s="22"/>
    </row>
    <row r="2462" spans="11:16" s="1" customFormat="1" x14ac:dyDescent="0.25">
      <c r="K2462" s="28"/>
      <c r="L2462" s="28"/>
      <c r="N2462" s="22"/>
      <c r="O2462" s="22"/>
      <c r="P2462" s="22"/>
    </row>
    <row r="2463" spans="11:16" s="1" customFormat="1" x14ac:dyDescent="0.25">
      <c r="K2463" s="28"/>
      <c r="L2463" s="28"/>
      <c r="N2463" s="22"/>
      <c r="O2463" s="22"/>
      <c r="P2463" s="22"/>
    </row>
    <row r="2464" spans="11:16" s="1" customFormat="1" x14ac:dyDescent="0.25">
      <c r="K2464" s="28"/>
      <c r="L2464" s="28"/>
      <c r="N2464" s="22"/>
      <c r="O2464" s="22"/>
      <c r="P2464" s="22"/>
    </row>
    <row r="2465" spans="11:16" s="1" customFormat="1" x14ac:dyDescent="0.25">
      <c r="K2465" s="28"/>
      <c r="L2465" s="28"/>
      <c r="N2465" s="22"/>
      <c r="O2465" s="22"/>
      <c r="P2465" s="22"/>
    </row>
    <row r="2466" spans="11:16" s="1" customFormat="1" x14ac:dyDescent="0.25">
      <c r="K2466" s="28"/>
      <c r="L2466" s="28"/>
      <c r="N2466" s="22"/>
      <c r="O2466" s="22"/>
      <c r="P2466" s="22"/>
    </row>
    <row r="2467" spans="11:16" s="1" customFormat="1" x14ac:dyDescent="0.25">
      <c r="K2467" s="28"/>
      <c r="L2467" s="28"/>
      <c r="N2467" s="22"/>
      <c r="O2467" s="22"/>
      <c r="P2467" s="22"/>
    </row>
    <row r="2468" spans="11:16" s="1" customFormat="1" x14ac:dyDescent="0.25">
      <c r="K2468" s="28"/>
      <c r="L2468" s="28"/>
      <c r="N2468" s="22"/>
      <c r="O2468" s="22"/>
      <c r="P2468" s="22"/>
    </row>
    <row r="2469" spans="11:16" s="1" customFormat="1" x14ac:dyDescent="0.25">
      <c r="K2469" s="28"/>
      <c r="L2469" s="28"/>
      <c r="N2469" s="22"/>
      <c r="O2469" s="22"/>
      <c r="P2469" s="22"/>
    </row>
    <row r="2470" spans="11:16" s="1" customFormat="1" x14ac:dyDescent="0.25">
      <c r="K2470" s="28"/>
      <c r="L2470" s="28"/>
      <c r="N2470" s="22"/>
      <c r="O2470" s="22"/>
      <c r="P2470" s="22"/>
    </row>
    <row r="2471" spans="11:16" s="1" customFormat="1" x14ac:dyDescent="0.25">
      <c r="K2471" s="28"/>
      <c r="L2471" s="28"/>
      <c r="N2471" s="22"/>
      <c r="O2471" s="22"/>
      <c r="P2471" s="22"/>
    </row>
    <row r="2472" spans="11:16" s="1" customFormat="1" x14ac:dyDescent="0.25">
      <c r="K2472" s="28"/>
      <c r="L2472" s="28"/>
      <c r="N2472" s="22"/>
      <c r="O2472" s="22"/>
      <c r="P2472" s="22"/>
    </row>
    <row r="2473" spans="11:16" s="1" customFormat="1" x14ac:dyDescent="0.25">
      <c r="K2473" s="28"/>
      <c r="L2473" s="28"/>
      <c r="N2473" s="22"/>
      <c r="O2473" s="22"/>
      <c r="P2473" s="22"/>
    </row>
    <row r="2474" spans="11:16" s="1" customFormat="1" x14ac:dyDescent="0.25">
      <c r="K2474" s="28"/>
      <c r="L2474" s="28"/>
      <c r="N2474" s="22"/>
      <c r="O2474" s="22"/>
      <c r="P2474" s="22"/>
    </row>
    <row r="2475" spans="11:16" s="1" customFormat="1" x14ac:dyDescent="0.25">
      <c r="K2475" s="28"/>
      <c r="L2475" s="28"/>
      <c r="N2475" s="22"/>
      <c r="O2475" s="22"/>
      <c r="P2475" s="22"/>
    </row>
    <row r="2476" spans="11:16" s="1" customFormat="1" x14ac:dyDescent="0.25">
      <c r="K2476" s="28"/>
      <c r="L2476" s="28"/>
      <c r="N2476" s="22"/>
      <c r="O2476" s="22"/>
      <c r="P2476" s="22"/>
    </row>
    <row r="2477" spans="11:16" s="1" customFormat="1" x14ac:dyDescent="0.25">
      <c r="K2477" s="28"/>
      <c r="L2477" s="28"/>
      <c r="N2477" s="22"/>
      <c r="O2477" s="22"/>
      <c r="P2477" s="22"/>
    </row>
    <row r="2478" spans="11:16" s="1" customFormat="1" x14ac:dyDescent="0.25">
      <c r="K2478" s="28"/>
      <c r="L2478" s="28"/>
      <c r="N2478" s="22"/>
      <c r="O2478" s="22"/>
      <c r="P2478" s="22"/>
    </row>
    <row r="2479" spans="11:16" s="1" customFormat="1" x14ac:dyDescent="0.25">
      <c r="K2479" s="28"/>
      <c r="L2479" s="28"/>
      <c r="N2479" s="22"/>
      <c r="O2479" s="22"/>
      <c r="P2479" s="22"/>
    </row>
    <row r="2480" spans="11:16" s="1" customFormat="1" x14ac:dyDescent="0.25">
      <c r="K2480" s="28"/>
      <c r="L2480" s="28"/>
      <c r="N2480" s="22"/>
      <c r="O2480" s="22"/>
      <c r="P2480" s="22"/>
    </row>
    <row r="2481" spans="11:16" s="1" customFormat="1" x14ac:dyDescent="0.25">
      <c r="K2481" s="28"/>
      <c r="L2481" s="28"/>
      <c r="N2481" s="22"/>
      <c r="O2481" s="22"/>
      <c r="P2481" s="22"/>
    </row>
    <row r="2482" spans="11:16" s="1" customFormat="1" x14ac:dyDescent="0.25">
      <c r="K2482" s="28"/>
      <c r="L2482" s="28"/>
      <c r="N2482" s="22"/>
      <c r="O2482" s="22"/>
      <c r="P2482" s="22"/>
    </row>
    <row r="2483" spans="11:16" s="1" customFormat="1" x14ac:dyDescent="0.25">
      <c r="K2483" s="28"/>
      <c r="L2483" s="28"/>
      <c r="N2483" s="22"/>
      <c r="O2483" s="22"/>
      <c r="P2483" s="22"/>
    </row>
    <row r="2484" spans="11:16" s="1" customFormat="1" x14ac:dyDescent="0.25">
      <c r="K2484" s="28"/>
      <c r="L2484" s="28"/>
      <c r="N2484" s="22"/>
      <c r="O2484" s="22"/>
      <c r="P2484" s="22"/>
    </row>
    <row r="2485" spans="11:16" s="1" customFormat="1" x14ac:dyDescent="0.25">
      <c r="K2485" s="28"/>
      <c r="L2485" s="28"/>
      <c r="N2485" s="22"/>
      <c r="O2485" s="22"/>
      <c r="P2485" s="22"/>
    </row>
    <row r="2486" spans="11:16" s="1" customFormat="1" x14ac:dyDescent="0.25">
      <c r="K2486" s="28"/>
      <c r="L2486" s="28"/>
      <c r="N2486" s="22"/>
      <c r="O2486" s="22"/>
      <c r="P2486" s="22"/>
    </row>
    <row r="2487" spans="11:16" s="1" customFormat="1" x14ac:dyDescent="0.25">
      <c r="K2487" s="28"/>
      <c r="L2487" s="28"/>
      <c r="N2487" s="22"/>
      <c r="O2487" s="22"/>
      <c r="P2487" s="22"/>
    </row>
    <row r="2488" spans="11:16" s="1" customFormat="1" x14ac:dyDescent="0.25">
      <c r="K2488" s="28"/>
      <c r="L2488" s="28"/>
      <c r="N2488" s="22"/>
      <c r="O2488" s="22"/>
      <c r="P2488" s="22"/>
    </row>
    <row r="2489" spans="11:16" s="1" customFormat="1" x14ac:dyDescent="0.25">
      <c r="K2489" s="28"/>
      <c r="L2489" s="28"/>
      <c r="N2489" s="22"/>
      <c r="O2489" s="22"/>
      <c r="P2489" s="22"/>
    </row>
    <row r="2490" spans="11:16" s="1" customFormat="1" x14ac:dyDescent="0.25">
      <c r="K2490" s="28"/>
      <c r="L2490" s="28"/>
      <c r="N2490" s="22"/>
      <c r="O2490" s="22"/>
      <c r="P2490" s="22"/>
    </row>
    <row r="2491" spans="11:16" s="1" customFormat="1" x14ac:dyDescent="0.25">
      <c r="K2491" s="28"/>
      <c r="L2491" s="28"/>
      <c r="N2491" s="22"/>
      <c r="O2491" s="22"/>
      <c r="P2491" s="22"/>
    </row>
    <row r="2492" spans="11:16" s="1" customFormat="1" x14ac:dyDescent="0.25">
      <c r="K2492" s="28"/>
      <c r="L2492" s="28"/>
      <c r="N2492" s="22"/>
      <c r="O2492" s="22"/>
      <c r="P2492" s="22"/>
    </row>
    <row r="2493" spans="11:16" s="1" customFormat="1" x14ac:dyDescent="0.25">
      <c r="K2493" s="28"/>
      <c r="L2493" s="28"/>
      <c r="N2493" s="22"/>
      <c r="O2493" s="22"/>
      <c r="P2493" s="22"/>
    </row>
    <row r="2494" spans="11:16" s="1" customFormat="1" x14ac:dyDescent="0.25">
      <c r="K2494" s="28"/>
      <c r="L2494" s="28"/>
      <c r="N2494" s="22"/>
      <c r="O2494" s="22"/>
      <c r="P2494" s="22"/>
    </row>
    <row r="2495" spans="11:16" s="1" customFormat="1" x14ac:dyDescent="0.25">
      <c r="K2495" s="28"/>
      <c r="L2495" s="28"/>
      <c r="N2495" s="22"/>
      <c r="O2495" s="22"/>
      <c r="P2495" s="22"/>
    </row>
    <row r="2496" spans="11:16" s="1" customFormat="1" x14ac:dyDescent="0.25">
      <c r="K2496" s="28"/>
      <c r="L2496" s="28"/>
      <c r="N2496" s="22"/>
      <c r="O2496" s="22"/>
      <c r="P2496" s="22"/>
    </row>
    <row r="2497" spans="11:16" s="1" customFormat="1" x14ac:dyDescent="0.25">
      <c r="K2497" s="28"/>
      <c r="L2497" s="28"/>
      <c r="N2497" s="22"/>
      <c r="O2497" s="22"/>
      <c r="P2497" s="22"/>
    </row>
    <row r="2498" spans="11:16" s="1" customFormat="1" x14ac:dyDescent="0.25">
      <c r="K2498" s="28"/>
      <c r="L2498" s="28"/>
      <c r="N2498" s="22"/>
      <c r="O2498" s="22"/>
      <c r="P2498" s="22"/>
    </row>
    <row r="2499" spans="11:16" s="1" customFormat="1" x14ac:dyDescent="0.25">
      <c r="K2499" s="28"/>
      <c r="L2499" s="28"/>
      <c r="N2499" s="22"/>
      <c r="O2499" s="22"/>
      <c r="P2499" s="22"/>
    </row>
    <row r="2500" spans="11:16" s="1" customFormat="1" x14ac:dyDescent="0.25">
      <c r="K2500" s="28"/>
      <c r="L2500" s="28"/>
      <c r="N2500" s="22"/>
      <c r="O2500" s="22"/>
      <c r="P2500" s="22"/>
    </row>
    <row r="2501" spans="11:16" s="1" customFormat="1" x14ac:dyDescent="0.25">
      <c r="K2501" s="28"/>
      <c r="L2501" s="28"/>
      <c r="N2501" s="22"/>
      <c r="O2501" s="22"/>
      <c r="P2501" s="22"/>
    </row>
    <row r="2502" spans="11:16" s="1" customFormat="1" x14ac:dyDescent="0.25">
      <c r="K2502" s="28"/>
      <c r="L2502" s="28"/>
      <c r="N2502" s="22"/>
      <c r="O2502" s="22"/>
      <c r="P2502" s="22"/>
    </row>
    <row r="2503" spans="11:16" s="1" customFormat="1" x14ac:dyDescent="0.25">
      <c r="K2503" s="28"/>
      <c r="L2503" s="28"/>
      <c r="N2503" s="22"/>
      <c r="O2503" s="22"/>
      <c r="P2503" s="22"/>
    </row>
    <row r="2504" spans="11:16" s="1" customFormat="1" x14ac:dyDescent="0.25">
      <c r="K2504" s="28"/>
      <c r="L2504" s="28"/>
      <c r="N2504" s="22"/>
      <c r="O2504" s="22"/>
      <c r="P2504" s="22"/>
    </row>
    <row r="2505" spans="11:16" s="1" customFormat="1" x14ac:dyDescent="0.25">
      <c r="K2505" s="28"/>
      <c r="L2505" s="28"/>
      <c r="N2505" s="22"/>
      <c r="O2505" s="22"/>
      <c r="P2505" s="22"/>
    </row>
    <row r="2506" spans="11:16" s="1" customFormat="1" x14ac:dyDescent="0.25">
      <c r="K2506" s="28"/>
      <c r="L2506" s="28"/>
      <c r="N2506" s="22"/>
      <c r="O2506" s="22"/>
      <c r="P2506" s="22"/>
    </row>
    <row r="2507" spans="11:16" s="1" customFormat="1" x14ac:dyDescent="0.25">
      <c r="K2507" s="28"/>
      <c r="L2507" s="28"/>
      <c r="N2507" s="22"/>
      <c r="O2507" s="22"/>
      <c r="P2507" s="22"/>
    </row>
    <row r="2508" spans="11:16" s="1" customFormat="1" x14ac:dyDescent="0.25">
      <c r="K2508" s="28"/>
      <c r="L2508" s="28"/>
      <c r="N2508" s="22"/>
      <c r="O2508" s="22"/>
      <c r="P2508" s="22"/>
    </row>
    <row r="2509" spans="11:16" s="1" customFormat="1" x14ac:dyDescent="0.25">
      <c r="K2509" s="28"/>
      <c r="L2509" s="28"/>
      <c r="N2509" s="22"/>
      <c r="O2509" s="22"/>
      <c r="P2509" s="22"/>
    </row>
    <row r="2510" spans="11:16" s="1" customFormat="1" x14ac:dyDescent="0.25">
      <c r="K2510" s="28"/>
      <c r="L2510" s="28"/>
      <c r="N2510" s="22"/>
      <c r="O2510" s="22"/>
      <c r="P2510" s="22"/>
    </row>
    <row r="2511" spans="11:16" s="1" customFormat="1" x14ac:dyDescent="0.25">
      <c r="K2511" s="28"/>
      <c r="L2511" s="28"/>
      <c r="N2511" s="22"/>
      <c r="O2511" s="22"/>
      <c r="P2511" s="22"/>
    </row>
    <row r="2512" spans="11:16" s="1" customFormat="1" x14ac:dyDescent="0.25">
      <c r="K2512" s="28"/>
      <c r="L2512" s="28"/>
      <c r="N2512" s="22"/>
      <c r="O2512" s="22"/>
      <c r="P2512" s="22"/>
    </row>
    <row r="2513" spans="11:16" s="1" customFormat="1" x14ac:dyDescent="0.25">
      <c r="K2513" s="28"/>
      <c r="L2513" s="28"/>
      <c r="N2513" s="22"/>
      <c r="O2513" s="22"/>
      <c r="P2513" s="22"/>
    </row>
    <row r="2514" spans="11:16" s="1" customFormat="1" x14ac:dyDescent="0.25">
      <c r="K2514" s="28"/>
      <c r="L2514" s="28"/>
      <c r="N2514" s="22"/>
      <c r="O2514" s="22"/>
      <c r="P2514" s="22"/>
    </row>
    <row r="2515" spans="11:16" s="1" customFormat="1" x14ac:dyDescent="0.25">
      <c r="K2515" s="28"/>
      <c r="L2515" s="28"/>
      <c r="N2515" s="22"/>
      <c r="O2515" s="22"/>
      <c r="P2515" s="22"/>
    </row>
    <row r="2516" spans="11:16" s="1" customFormat="1" x14ac:dyDescent="0.25">
      <c r="K2516" s="28"/>
      <c r="L2516" s="28"/>
      <c r="N2516" s="22"/>
      <c r="O2516" s="22"/>
      <c r="P2516" s="22"/>
    </row>
    <row r="2517" spans="11:16" s="1" customFormat="1" x14ac:dyDescent="0.25">
      <c r="K2517" s="28"/>
      <c r="L2517" s="28"/>
      <c r="N2517" s="22"/>
      <c r="O2517" s="22"/>
      <c r="P2517" s="22"/>
    </row>
    <row r="2518" spans="11:16" s="1" customFormat="1" x14ac:dyDescent="0.25">
      <c r="K2518" s="28"/>
      <c r="L2518" s="28"/>
      <c r="N2518" s="22"/>
      <c r="O2518" s="22"/>
      <c r="P2518" s="22"/>
    </row>
    <row r="2519" spans="11:16" s="1" customFormat="1" x14ac:dyDescent="0.25">
      <c r="K2519" s="28"/>
      <c r="L2519" s="28"/>
      <c r="N2519" s="22"/>
      <c r="O2519" s="22"/>
      <c r="P2519" s="22"/>
    </row>
    <row r="2520" spans="11:16" s="1" customFormat="1" x14ac:dyDescent="0.25">
      <c r="K2520" s="28"/>
      <c r="L2520" s="28"/>
      <c r="N2520" s="22"/>
      <c r="O2520" s="22"/>
      <c r="P2520" s="22"/>
    </row>
    <row r="2521" spans="11:16" s="1" customFormat="1" x14ac:dyDescent="0.25">
      <c r="K2521" s="28"/>
      <c r="L2521" s="28"/>
      <c r="N2521" s="22"/>
      <c r="O2521" s="22"/>
      <c r="P2521" s="22"/>
    </row>
    <row r="2522" spans="11:16" s="1" customFormat="1" x14ac:dyDescent="0.25">
      <c r="K2522" s="28"/>
      <c r="L2522" s="28"/>
      <c r="N2522" s="22"/>
      <c r="O2522" s="22"/>
      <c r="P2522" s="22"/>
    </row>
    <row r="2523" spans="11:16" s="1" customFormat="1" x14ac:dyDescent="0.25">
      <c r="K2523" s="28"/>
      <c r="L2523" s="28"/>
      <c r="N2523" s="22"/>
      <c r="O2523" s="22"/>
      <c r="P2523" s="22"/>
    </row>
    <row r="2524" spans="11:16" s="1" customFormat="1" x14ac:dyDescent="0.25">
      <c r="K2524" s="28"/>
      <c r="L2524" s="28"/>
      <c r="N2524" s="22"/>
      <c r="O2524" s="22"/>
      <c r="P2524" s="22"/>
    </row>
    <row r="2525" spans="11:16" s="1" customFormat="1" x14ac:dyDescent="0.25">
      <c r="K2525" s="28"/>
      <c r="L2525" s="28"/>
      <c r="N2525" s="22"/>
      <c r="O2525" s="22"/>
      <c r="P2525" s="22"/>
    </row>
    <row r="2526" spans="11:16" s="1" customFormat="1" x14ac:dyDescent="0.25">
      <c r="K2526" s="28"/>
      <c r="L2526" s="28"/>
      <c r="N2526" s="22"/>
      <c r="O2526" s="22"/>
      <c r="P2526" s="22"/>
    </row>
    <row r="2527" spans="11:16" s="1" customFormat="1" x14ac:dyDescent="0.25">
      <c r="K2527" s="28"/>
      <c r="L2527" s="28"/>
      <c r="N2527" s="22"/>
      <c r="O2527" s="22"/>
      <c r="P2527" s="22"/>
    </row>
    <row r="2528" spans="11:16" s="1" customFormat="1" x14ac:dyDescent="0.25">
      <c r="K2528" s="28"/>
      <c r="L2528" s="28"/>
      <c r="N2528" s="22"/>
      <c r="O2528" s="22"/>
      <c r="P2528" s="22"/>
    </row>
    <row r="2529" spans="11:16" s="1" customFormat="1" x14ac:dyDescent="0.25">
      <c r="K2529" s="28"/>
      <c r="L2529" s="28"/>
      <c r="N2529" s="22"/>
      <c r="O2529" s="22"/>
      <c r="P2529" s="22"/>
    </row>
    <row r="2530" spans="11:16" s="1" customFormat="1" x14ac:dyDescent="0.25">
      <c r="K2530" s="28"/>
      <c r="L2530" s="28"/>
      <c r="N2530" s="22"/>
      <c r="O2530" s="22"/>
      <c r="P2530" s="22"/>
    </row>
    <row r="2531" spans="11:16" s="1" customFormat="1" x14ac:dyDescent="0.25">
      <c r="K2531" s="28"/>
      <c r="L2531" s="28"/>
      <c r="N2531" s="22"/>
      <c r="O2531" s="22"/>
      <c r="P2531" s="22"/>
    </row>
    <row r="2532" spans="11:16" s="1" customFormat="1" x14ac:dyDescent="0.25">
      <c r="K2532" s="28"/>
      <c r="L2532" s="28"/>
      <c r="N2532" s="22"/>
      <c r="O2532" s="22"/>
      <c r="P2532" s="22"/>
    </row>
    <row r="2533" spans="11:16" s="1" customFormat="1" x14ac:dyDescent="0.25">
      <c r="K2533" s="28"/>
      <c r="L2533" s="28"/>
      <c r="N2533" s="22"/>
      <c r="O2533" s="22"/>
      <c r="P2533" s="22"/>
    </row>
    <row r="2534" spans="11:16" s="1" customFormat="1" x14ac:dyDescent="0.25">
      <c r="K2534" s="28"/>
      <c r="L2534" s="28"/>
      <c r="N2534" s="22"/>
      <c r="O2534" s="22"/>
      <c r="P2534" s="22"/>
    </row>
    <row r="2535" spans="11:16" s="1" customFormat="1" x14ac:dyDescent="0.25">
      <c r="K2535" s="28"/>
      <c r="L2535" s="28"/>
      <c r="N2535" s="22"/>
      <c r="O2535" s="22"/>
      <c r="P2535" s="22"/>
    </row>
    <row r="2536" spans="11:16" s="1" customFormat="1" x14ac:dyDescent="0.25">
      <c r="K2536" s="28"/>
      <c r="L2536" s="28"/>
      <c r="N2536" s="22"/>
      <c r="O2536" s="22"/>
      <c r="P2536" s="22"/>
    </row>
    <row r="2537" spans="11:16" s="1" customFormat="1" x14ac:dyDescent="0.25">
      <c r="K2537" s="28"/>
      <c r="L2537" s="28"/>
      <c r="N2537" s="22"/>
      <c r="O2537" s="22"/>
      <c r="P2537" s="22"/>
    </row>
    <row r="2538" spans="11:16" s="1" customFormat="1" x14ac:dyDescent="0.25">
      <c r="K2538" s="28"/>
      <c r="L2538" s="28"/>
      <c r="N2538" s="22"/>
      <c r="O2538" s="22"/>
      <c r="P2538" s="22"/>
    </row>
    <row r="2539" spans="11:16" s="1" customFormat="1" x14ac:dyDescent="0.25">
      <c r="K2539" s="28"/>
      <c r="L2539" s="28"/>
      <c r="N2539" s="22"/>
      <c r="O2539" s="22"/>
      <c r="P2539" s="22"/>
    </row>
    <row r="2540" spans="11:16" s="1" customFormat="1" x14ac:dyDescent="0.25">
      <c r="K2540" s="28"/>
      <c r="L2540" s="28"/>
      <c r="N2540" s="22"/>
      <c r="O2540" s="22"/>
      <c r="P2540" s="22"/>
    </row>
    <row r="2541" spans="11:16" s="1" customFormat="1" x14ac:dyDescent="0.25">
      <c r="K2541" s="28"/>
      <c r="L2541" s="28"/>
      <c r="N2541" s="22"/>
      <c r="O2541" s="22"/>
      <c r="P2541" s="22"/>
    </row>
    <row r="2542" spans="11:16" s="1" customFormat="1" x14ac:dyDescent="0.25">
      <c r="K2542" s="28"/>
      <c r="L2542" s="28"/>
      <c r="N2542" s="22"/>
      <c r="O2542" s="22"/>
      <c r="P2542" s="22"/>
    </row>
    <row r="2543" spans="11:16" s="1" customFormat="1" x14ac:dyDescent="0.25">
      <c r="K2543" s="28"/>
      <c r="L2543" s="28"/>
      <c r="N2543" s="22"/>
      <c r="O2543" s="22"/>
      <c r="P2543" s="22"/>
    </row>
    <row r="2544" spans="11:16" s="1" customFormat="1" x14ac:dyDescent="0.25">
      <c r="K2544" s="28"/>
      <c r="L2544" s="28"/>
      <c r="N2544" s="22"/>
      <c r="O2544" s="22"/>
      <c r="P2544" s="22"/>
    </row>
    <row r="2545" spans="11:16" s="1" customFormat="1" x14ac:dyDescent="0.25">
      <c r="K2545" s="28"/>
      <c r="L2545" s="28"/>
      <c r="N2545" s="22"/>
      <c r="O2545" s="22"/>
      <c r="P2545" s="22"/>
    </row>
    <row r="2546" spans="11:16" s="1" customFormat="1" x14ac:dyDescent="0.25">
      <c r="K2546" s="28"/>
      <c r="L2546" s="28"/>
      <c r="N2546" s="22"/>
      <c r="O2546" s="22"/>
      <c r="P2546" s="22"/>
    </row>
    <row r="2547" spans="11:16" s="1" customFormat="1" x14ac:dyDescent="0.25">
      <c r="K2547" s="28"/>
      <c r="L2547" s="28"/>
      <c r="N2547" s="22"/>
      <c r="O2547" s="22"/>
      <c r="P2547" s="22"/>
    </row>
    <row r="2548" spans="11:16" s="1" customFormat="1" x14ac:dyDescent="0.25">
      <c r="K2548" s="28"/>
      <c r="L2548" s="28"/>
      <c r="N2548" s="22"/>
      <c r="O2548" s="22"/>
      <c r="P2548" s="22"/>
    </row>
    <row r="2549" spans="11:16" s="1" customFormat="1" x14ac:dyDescent="0.25">
      <c r="K2549" s="28"/>
      <c r="L2549" s="28"/>
      <c r="N2549" s="22"/>
      <c r="O2549" s="22"/>
      <c r="P2549" s="22"/>
    </row>
    <row r="2550" spans="11:16" s="1" customFormat="1" x14ac:dyDescent="0.25">
      <c r="K2550" s="28"/>
      <c r="L2550" s="28"/>
      <c r="N2550" s="22"/>
      <c r="O2550" s="22"/>
      <c r="P2550" s="22"/>
    </row>
    <row r="2551" spans="11:16" s="1" customFormat="1" x14ac:dyDescent="0.25">
      <c r="K2551" s="28"/>
      <c r="L2551" s="28"/>
      <c r="N2551" s="22"/>
      <c r="O2551" s="22"/>
      <c r="P2551" s="22"/>
    </row>
    <row r="2552" spans="11:16" s="1" customFormat="1" x14ac:dyDescent="0.25">
      <c r="K2552" s="28"/>
      <c r="L2552" s="28"/>
      <c r="N2552" s="22"/>
      <c r="O2552" s="22"/>
      <c r="P2552" s="22"/>
    </row>
    <row r="2553" spans="11:16" s="1" customFormat="1" x14ac:dyDescent="0.25">
      <c r="K2553" s="28"/>
      <c r="L2553" s="28"/>
      <c r="N2553" s="22"/>
      <c r="O2553" s="22"/>
      <c r="P2553" s="22"/>
    </row>
    <row r="2554" spans="11:16" s="1" customFormat="1" x14ac:dyDescent="0.25">
      <c r="K2554" s="28"/>
      <c r="L2554" s="28"/>
      <c r="N2554" s="22"/>
      <c r="O2554" s="22"/>
      <c r="P2554" s="22"/>
    </row>
    <row r="2555" spans="11:16" s="1" customFormat="1" x14ac:dyDescent="0.25">
      <c r="K2555" s="28"/>
      <c r="L2555" s="28"/>
      <c r="N2555" s="22"/>
      <c r="O2555" s="22"/>
      <c r="P2555" s="22"/>
    </row>
    <row r="2556" spans="11:16" s="1" customFormat="1" x14ac:dyDescent="0.25">
      <c r="K2556" s="28"/>
      <c r="L2556" s="28"/>
      <c r="N2556" s="22"/>
      <c r="O2556" s="22"/>
      <c r="P2556" s="22"/>
    </row>
    <row r="2557" spans="11:16" s="1" customFormat="1" x14ac:dyDescent="0.25">
      <c r="K2557" s="28"/>
      <c r="L2557" s="28"/>
      <c r="N2557" s="22"/>
      <c r="O2557" s="22"/>
      <c r="P2557" s="22"/>
    </row>
    <row r="2558" spans="11:16" s="1" customFormat="1" x14ac:dyDescent="0.25">
      <c r="K2558" s="28"/>
      <c r="L2558" s="28"/>
      <c r="N2558" s="22"/>
      <c r="O2558" s="22"/>
      <c r="P2558" s="22"/>
    </row>
    <row r="2559" spans="11:16" s="1" customFormat="1" x14ac:dyDescent="0.25">
      <c r="K2559" s="28"/>
      <c r="L2559" s="28"/>
      <c r="N2559" s="22"/>
      <c r="O2559" s="22"/>
      <c r="P2559" s="22"/>
    </row>
    <row r="2560" spans="11:16" s="1" customFormat="1" x14ac:dyDescent="0.25">
      <c r="K2560" s="28"/>
      <c r="L2560" s="28"/>
      <c r="N2560" s="22"/>
      <c r="O2560" s="22"/>
      <c r="P2560" s="22"/>
    </row>
    <row r="2561" spans="11:16" s="1" customFormat="1" x14ac:dyDescent="0.25">
      <c r="K2561" s="28"/>
      <c r="L2561" s="28"/>
      <c r="N2561" s="22"/>
      <c r="O2561" s="22"/>
      <c r="P2561" s="22"/>
    </row>
    <row r="2562" spans="11:16" s="1" customFormat="1" x14ac:dyDescent="0.25">
      <c r="K2562" s="28"/>
      <c r="L2562" s="28"/>
      <c r="N2562" s="22"/>
      <c r="O2562" s="22"/>
      <c r="P2562" s="22"/>
    </row>
    <row r="2563" spans="11:16" s="1" customFormat="1" x14ac:dyDescent="0.25">
      <c r="K2563" s="28"/>
      <c r="L2563" s="28"/>
      <c r="N2563" s="22"/>
      <c r="O2563" s="22"/>
      <c r="P2563" s="22"/>
    </row>
    <row r="2564" spans="11:16" s="1" customFormat="1" x14ac:dyDescent="0.25">
      <c r="K2564" s="28"/>
      <c r="L2564" s="28"/>
      <c r="N2564" s="22"/>
      <c r="O2564" s="22"/>
      <c r="P2564" s="22"/>
    </row>
    <row r="2565" spans="11:16" s="1" customFormat="1" x14ac:dyDescent="0.25">
      <c r="K2565" s="28"/>
      <c r="L2565" s="28"/>
      <c r="N2565" s="22"/>
      <c r="O2565" s="22"/>
      <c r="P2565" s="22"/>
    </row>
    <row r="2566" spans="11:16" s="1" customFormat="1" x14ac:dyDescent="0.25">
      <c r="K2566" s="28"/>
      <c r="L2566" s="28"/>
      <c r="N2566" s="22"/>
      <c r="O2566" s="22"/>
      <c r="P2566" s="22"/>
    </row>
    <row r="2567" spans="11:16" s="1" customFormat="1" x14ac:dyDescent="0.25">
      <c r="K2567" s="28"/>
      <c r="L2567" s="28"/>
      <c r="N2567" s="22"/>
      <c r="O2567" s="22"/>
      <c r="P2567" s="22"/>
    </row>
    <row r="2568" spans="11:16" s="1" customFormat="1" x14ac:dyDescent="0.25">
      <c r="K2568" s="28"/>
      <c r="L2568" s="28"/>
      <c r="N2568" s="22"/>
      <c r="O2568" s="22"/>
      <c r="P2568" s="22"/>
    </row>
    <row r="2569" spans="11:16" s="1" customFormat="1" x14ac:dyDescent="0.25">
      <c r="K2569" s="28"/>
      <c r="L2569" s="28"/>
      <c r="N2569" s="22"/>
      <c r="O2569" s="22"/>
      <c r="P2569" s="22"/>
    </row>
    <row r="2570" spans="11:16" s="1" customFormat="1" x14ac:dyDescent="0.25">
      <c r="K2570" s="28"/>
      <c r="L2570" s="28"/>
      <c r="N2570" s="22"/>
      <c r="O2570" s="22"/>
      <c r="P2570" s="22"/>
    </row>
    <row r="2571" spans="11:16" s="1" customFormat="1" x14ac:dyDescent="0.25">
      <c r="K2571" s="28"/>
      <c r="L2571" s="28"/>
      <c r="N2571" s="22"/>
      <c r="O2571" s="22"/>
      <c r="P2571" s="22"/>
    </row>
    <row r="2572" spans="11:16" s="1" customFormat="1" x14ac:dyDescent="0.25">
      <c r="K2572" s="28"/>
      <c r="L2572" s="28"/>
      <c r="N2572" s="22"/>
      <c r="O2572" s="22"/>
      <c r="P2572" s="22"/>
    </row>
    <row r="2573" spans="11:16" s="1" customFormat="1" x14ac:dyDescent="0.25">
      <c r="K2573" s="28"/>
      <c r="L2573" s="28"/>
      <c r="N2573" s="22"/>
      <c r="O2573" s="22"/>
      <c r="P2573" s="22"/>
    </row>
    <row r="2574" spans="11:16" s="1" customFormat="1" x14ac:dyDescent="0.25">
      <c r="K2574" s="28"/>
      <c r="L2574" s="28"/>
      <c r="N2574" s="22"/>
      <c r="O2574" s="22"/>
      <c r="P2574" s="22"/>
    </row>
    <row r="2575" spans="11:16" s="1" customFormat="1" x14ac:dyDescent="0.25">
      <c r="K2575" s="28"/>
      <c r="L2575" s="28"/>
      <c r="N2575" s="22"/>
      <c r="O2575" s="22"/>
      <c r="P2575" s="22"/>
    </row>
    <row r="2576" spans="11:16" s="1" customFormat="1" x14ac:dyDescent="0.25">
      <c r="K2576" s="28"/>
      <c r="L2576" s="28"/>
      <c r="N2576" s="22"/>
      <c r="O2576" s="22"/>
      <c r="P2576" s="22"/>
    </row>
    <row r="2577" spans="11:16" s="1" customFormat="1" x14ac:dyDescent="0.25">
      <c r="K2577" s="28"/>
      <c r="L2577" s="28"/>
      <c r="N2577" s="22"/>
      <c r="O2577" s="22"/>
      <c r="P2577" s="22"/>
    </row>
    <row r="2578" spans="11:16" s="1" customFormat="1" x14ac:dyDescent="0.25">
      <c r="K2578" s="28"/>
      <c r="L2578" s="28"/>
      <c r="N2578" s="22"/>
      <c r="O2578" s="22"/>
      <c r="P2578" s="22"/>
    </row>
    <row r="2579" spans="11:16" s="1" customFormat="1" x14ac:dyDescent="0.25">
      <c r="K2579" s="28"/>
      <c r="L2579" s="28"/>
      <c r="N2579" s="22"/>
      <c r="O2579" s="22"/>
      <c r="P2579" s="22"/>
    </row>
    <row r="2580" spans="11:16" s="1" customFormat="1" x14ac:dyDescent="0.25">
      <c r="K2580" s="28"/>
      <c r="L2580" s="28"/>
      <c r="N2580" s="22"/>
      <c r="O2580" s="22"/>
      <c r="P2580" s="22"/>
    </row>
    <row r="2581" spans="11:16" s="1" customFormat="1" x14ac:dyDescent="0.25">
      <c r="K2581" s="28"/>
      <c r="L2581" s="28"/>
      <c r="N2581" s="22"/>
      <c r="O2581" s="22"/>
      <c r="P2581" s="22"/>
    </row>
    <row r="2582" spans="11:16" s="1" customFormat="1" x14ac:dyDescent="0.25">
      <c r="K2582" s="28"/>
      <c r="L2582" s="28"/>
      <c r="N2582" s="22"/>
      <c r="O2582" s="22"/>
      <c r="P2582" s="22"/>
    </row>
    <row r="2583" spans="11:16" s="1" customFormat="1" x14ac:dyDescent="0.25">
      <c r="K2583" s="28"/>
      <c r="L2583" s="28"/>
      <c r="N2583" s="22"/>
      <c r="O2583" s="22"/>
      <c r="P2583" s="22"/>
    </row>
    <row r="2584" spans="11:16" s="1" customFormat="1" x14ac:dyDescent="0.25">
      <c r="K2584" s="28"/>
      <c r="L2584" s="28"/>
      <c r="N2584" s="22"/>
      <c r="O2584" s="22"/>
      <c r="P2584" s="22"/>
    </row>
    <row r="2585" spans="11:16" s="1" customFormat="1" x14ac:dyDescent="0.25">
      <c r="K2585" s="28"/>
      <c r="L2585" s="28"/>
      <c r="N2585" s="22"/>
      <c r="O2585" s="22"/>
      <c r="P2585" s="22"/>
    </row>
    <row r="2586" spans="11:16" s="1" customFormat="1" x14ac:dyDescent="0.25">
      <c r="K2586" s="28"/>
      <c r="L2586" s="28"/>
      <c r="N2586" s="22"/>
      <c r="O2586" s="22"/>
      <c r="P2586" s="22"/>
    </row>
    <row r="2587" spans="11:16" s="1" customFormat="1" x14ac:dyDescent="0.25">
      <c r="K2587" s="28"/>
      <c r="L2587" s="28"/>
      <c r="N2587" s="22"/>
      <c r="O2587" s="22"/>
      <c r="P2587" s="22"/>
    </row>
    <row r="2588" spans="11:16" s="1" customFormat="1" x14ac:dyDescent="0.25">
      <c r="K2588" s="28"/>
      <c r="L2588" s="28"/>
      <c r="N2588" s="22"/>
      <c r="O2588" s="22"/>
      <c r="P2588" s="22"/>
    </row>
    <row r="2589" spans="11:16" s="1" customFormat="1" x14ac:dyDescent="0.25">
      <c r="K2589" s="28"/>
      <c r="L2589" s="28"/>
      <c r="N2589" s="22"/>
      <c r="O2589" s="22"/>
      <c r="P2589" s="22"/>
    </row>
    <row r="2590" spans="11:16" s="1" customFormat="1" x14ac:dyDescent="0.25">
      <c r="K2590" s="28"/>
      <c r="L2590" s="28"/>
      <c r="N2590" s="22"/>
      <c r="O2590" s="22"/>
      <c r="P2590" s="22"/>
    </row>
    <row r="2591" spans="11:16" s="1" customFormat="1" x14ac:dyDescent="0.25">
      <c r="K2591" s="28"/>
      <c r="L2591" s="28"/>
      <c r="N2591" s="22"/>
      <c r="O2591" s="22"/>
      <c r="P2591" s="22"/>
    </row>
    <row r="2592" spans="11:16" s="1" customFormat="1" x14ac:dyDescent="0.25">
      <c r="K2592" s="28"/>
      <c r="L2592" s="28"/>
      <c r="N2592" s="22"/>
      <c r="O2592" s="22"/>
      <c r="P2592" s="22"/>
    </row>
    <row r="2593" spans="11:16" s="1" customFormat="1" x14ac:dyDescent="0.25">
      <c r="K2593" s="28"/>
      <c r="L2593" s="28"/>
      <c r="N2593" s="22"/>
      <c r="O2593" s="22"/>
      <c r="P2593" s="22"/>
    </row>
    <row r="2594" spans="11:16" s="1" customFormat="1" x14ac:dyDescent="0.25">
      <c r="K2594" s="28"/>
      <c r="L2594" s="28"/>
      <c r="N2594" s="22"/>
      <c r="O2594" s="22"/>
      <c r="P2594" s="22"/>
    </row>
    <row r="2595" spans="11:16" s="1" customFormat="1" x14ac:dyDescent="0.25">
      <c r="K2595" s="28"/>
      <c r="L2595" s="28"/>
      <c r="N2595" s="22"/>
      <c r="O2595" s="22"/>
      <c r="P2595" s="22"/>
    </row>
    <row r="2596" spans="11:16" s="1" customFormat="1" x14ac:dyDescent="0.25">
      <c r="K2596" s="28"/>
      <c r="L2596" s="28"/>
      <c r="N2596" s="22"/>
      <c r="O2596" s="22"/>
      <c r="P2596" s="22"/>
    </row>
    <row r="2597" spans="11:16" s="1" customFormat="1" x14ac:dyDescent="0.25">
      <c r="K2597" s="28"/>
      <c r="L2597" s="28"/>
      <c r="N2597" s="22"/>
      <c r="O2597" s="22"/>
      <c r="P2597" s="22"/>
    </row>
    <row r="2598" spans="11:16" s="1" customFormat="1" x14ac:dyDescent="0.25">
      <c r="K2598" s="28"/>
      <c r="L2598" s="28"/>
      <c r="N2598" s="22"/>
      <c r="O2598" s="22"/>
      <c r="P2598" s="22"/>
    </row>
    <row r="2599" spans="11:16" s="1" customFormat="1" x14ac:dyDescent="0.25">
      <c r="K2599" s="28"/>
      <c r="L2599" s="28"/>
      <c r="N2599" s="22"/>
      <c r="O2599" s="22"/>
      <c r="P2599" s="22"/>
    </row>
    <row r="2600" spans="11:16" s="1" customFormat="1" x14ac:dyDescent="0.25">
      <c r="K2600" s="28"/>
      <c r="L2600" s="28"/>
      <c r="N2600" s="22"/>
      <c r="O2600" s="22"/>
      <c r="P2600" s="22"/>
    </row>
    <row r="2601" spans="11:16" s="1" customFormat="1" x14ac:dyDescent="0.25">
      <c r="K2601" s="28"/>
      <c r="L2601" s="28"/>
      <c r="N2601" s="22"/>
      <c r="O2601" s="22"/>
      <c r="P2601" s="22"/>
    </row>
    <row r="2602" spans="11:16" s="1" customFormat="1" x14ac:dyDescent="0.25">
      <c r="K2602" s="28"/>
      <c r="L2602" s="28"/>
      <c r="N2602" s="22"/>
      <c r="O2602" s="22"/>
      <c r="P2602" s="22"/>
    </row>
    <row r="2603" spans="11:16" s="1" customFormat="1" x14ac:dyDescent="0.25">
      <c r="K2603" s="28"/>
      <c r="L2603" s="28"/>
      <c r="N2603" s="22"/>
      <c r="O2603" s="22"/>
      <c r="P2603" s="22"/>
    </row>
    <row r="2604" spans="11:16" s="1" customFormat="1" x14ac:dyDescent="0.25">
      <c r="K2604" s="28"/>
      <c r="L2604" s="28"/>
      <c r="N2604" s="22"/>
      <c r="O2604" s="22"/>
      <c r="P2604" s="22"/>
    </row>
    <row r="2605" spans="11:16" s="1" customFormat="1" x14ac:dyDescent="0.25">
      <c r="K2605" s="28"/>
      <c r="L2605" s="28"/>
      <c r="N2605" s="22"/>
      <c r="O2605" s="22"/>
      <c r="P2605" s="22"/>
    </row>
    <row r="2606" spans="11:16" s="1" customFormat="1" x14ac:dyDescent="0.25">
      <c r="K2606" s="28"/>
      <c r="L2606" s="28"/>
      <c r="N2606" s="22"/>
      <c r="O2606" s="22"/>
      <c r="P2606" s="22"/>
    </row>
    <row r="2607" spans="11:16" s="1" customFormat="1" x14ac:dyDescent="0.25">
      <c r="K2607" s="28"/>
      <c r="L2607" s="28"/>
      <c r="N2607" s="22"/>
      <c r="O2607" s="22"/>
      <c r="P2607" s="22"/>
    </row>
    <row r="2608" spans="11:16" s="1" customFormat="1" x14ac:dyDescent="0.25">
      <c r="K2608" s="28"/>
      <c r="L2608" s="28"/>
      <c r="N2608" s="22"/>
      <c r="O2608" s="22"/>
      <c r="P2608" s="22"/>
    </row>
    <row r="2609" spans="11:16" s="1" customFormat="1" x14ac:dyDescent="0.25">
      <c r="K2609" s="28"/>
      <c r="L2609" s="28"/>
      <c r="N2609" s="22"/>
      <c r="O2609" s="22"/>
      <c r="P2609" s="22"/>
    </row>
    <row r="2610" spans="11:16" s="1" customFormat="1" x14ac:dyDescent="0.25">
      <c r="K2610" s="28"/>
      <c r="L2610" s="28"/>
      <c r="N2610" s="22"/>
      <c r="O2610" s="22"/>
      <c r="P2610" s="22"/>
    </row>
    <row r="2611" spans="11:16" s="1" customFormat="1" x14ac:dyDescent="0.25">
      <c r="K2611" s="28"/>
      <c r="L2611" s="28"/>
      <c r="N2611" s="22"/>
      <c r="O2611" s="22"/>
      <c r="P2611" s="22"/>
    </row>
    <row r="2612" spans="11:16" s="1" customFormat="1" x14ac:dyDescent="0.25">
      <c r="K2612" s="28"/>
      <c r="L2612" s="28"/>
      <c r="N2612" s="22"/>
      <c r="O2612" s="22"/>
      <c r="P2612" s="22"/>
    </row>
    <row r="2613" spans="11:16" s="1" customFormat="1" x14ac:dyDescent="0.25">
      <c r="K2613" s="28"/>
      <c r="L2613" s="28"/>
      <c r="N2613" s="22"/>
      <c r="O2613" s="22"/>
      <c r="P2613" s="22"/>
    </row>
    <row r="2614" spans="11:16" s="1" customFormat="1" x14ac:dyDescent="0.25">
      <c r="K2614" s="28"/>
      <c r="L2614" s="28"/>
      <c r="N2614" s="22"/>
      <c r="O2614" s="22"/>
      <c r="P2614" s="22"/>
    </row>
    <row r="2615" spans="11:16" s="1" customFormat="1" x14ac:dyDescent="0.25">
      <c r="K2615" s="28"/>
      <c r="L2615" s="28"/>
      <c r="N2615" s="22"/>
      <c r="O2615" s="22"/>
      <c r="P2615" s="22"/>
    </row>
    <row r="2616" spans="11:16" s="1" customFormat="1" x14ac:dyDescent="0.25">
      <c r="K2616" s="28"/>
      <c r="L2616" s="28"/>
      <c r="N2616" s="22"/>
      <c r="O2616" s="22"/>
      <c r="P2616" s="22"/>
    </row>
    <row r="2617" spans="11:16" s="1" customFormat="1" x14ac:dyDescent="0.25">
      <c r="K2617" s="28"/>
      <c r="L2617" s="28"/>
      <c r="N2617" s="22"/>
      <c r="O2617" s="22"/>
      <c r="P2617" s="22"/>
    </row>
    <row r="2618" spans="11:16" s="1" customFormat="1" x14ac:dyDescent="0.25">
      <c r="K2618" s="28"/>
      <c r="L2618" s="28"/>
      <c r="N2618" s="22"/>
      <c r="O2618" s="22"/>
      <c r="P2618" s="22"/>
    </row>
    <row r="2619" spans="11:16" s="1" customFormat="1" x14ac:dyDescent="0.25">
      <c r="K2619" s="28"/>
      <c r="L2619" s="28"/>
      <c r="N2619" s="22"/>
      <c r="O2619" s="22"/>
      <c r="P2619" s="22"/>
    </row>
    <row r="2620" spans="11:16" s="1" customFormat="1" x14ac:dyDescent="0.25">
      <c r="K2620" s="28"/>
      <c r="L2620" s="28"/>
      <c r="N2620" s="22"/>
      <c r="O2620" s="22"/>
      <c r="P2620" s="22"/>
    </row>
    <row r="2621" spans="11:16" s="1" customFormat="1" x14ac:dyDescent="0.25">
      <c r="K2621" s="28"/>
      <c r="L2621" s="28"/>
      <c r="N2621" s="22"/>
      <c r="O2621" s="22"/>
      <c r="P2621" s="22"/>
    </row>
    <row r="2622" spans="11:16" s="1" customFormat="1" x14ac:dyDescent="0.25">
      <c r="K2622" s="28"/>
      <c r="L2622" s="28"/>
      <c r="N2622" s="22"/>
      <c r="O2622" s="22"/>
      <c r="P2622" s="22"/>
    </row>
    <row r="2623" spans="11:16" s="1" customFormat="1" x14ac:dyDescent="0.25">
      <c r="K2623" s="28"/>
      <c r="L2623" s="28"/>
      <c r="N2623" s="22"/>
      <c r="O2623" s="22"/>
      <c r="P2623" s="22"/>
    </row>
    <row r="2624" spans="11:16" s="1" customFormat="1" x14ac:dyDescent="0.25">
      <c r="K2624" s="28"/>
      <c r="L2624" s="28"/>
      <c r="N2624" s="22"/>
      <c r="O2624" s="22"/>
      <c r="P2624" s="22"/>
    </row>
    <row r="2625" spans="11:16" s="1" customFormat="1" x14ac:dyDescent="0.25">
      <c r="K2625" s="28"/>
      <c r="L2625" s="28"/>
      <c r="N2625" s="22"/>
      <c r="O2625" s="22"/>
      <c r="P2625" s="22"/>
    </row>
    <row r="2626" spans="11:16" s="1" customFormat="1" x14ac:dyDescent="0.25">
      <c r="K2626" s="28"/>
      <c r="L2626" s="28"/>
      <c r="N2626" s="22"/>
      <c r="O2626" s="22"/>
      <c r="P2626" s="22"/>
    </row>
    <row r="2627" spans="11:16" s="1" customFormat="1" x14ac:dyDescent="0.25">
      <c r="K2627" s="28"/>
      <c r="L2627" s="28"/>
      <c r="N2627" s="22"/>
      <c r="O2627" s="22"/>
      <c r="P2627" s="22"/>
    </row>
    <row r="2628" spans="11:16" s="1" customFormat="1" x14ac:dyDescent="0.25">
      <c r="K2628" s="28"/>
      <c r="L2628" s="28"/>
      <c r="N2628" s="22"/>
      <c r="O2628" s="22"/>
      <c r="P2628" s="22"/>
    </row>
    <row r="2629" spans="11:16" s="1" customFormat="1" x14ac:dyDescent="0.25">
      <c r="K2629" s="28"/>
      <c r="L2629" s="28"/>
      <c r="N2629" s="22"/>
      <c r="O2629" s="22"/>
      <c r="P2629" s="22"/>
    </row>
    <row r="2630" spans="11:16" s="1" customFormat="1" x14ac:dyDescent="0.25">
      <c r="K2630" s="28"/>
      <c r="L2630" s="28"/>
      <c r="N2630" s="22"/>
      <c r="O2630" s="22"/>
      <c r="P2630" s="22"/>
    </row>
    <row r="2631" spans="11:16" s="1" customFormat="1" x14ac:dyDescent="0.25">
      <c r="K2631" s="28"/>
      <c r="L2631" s="28"/>
      <c r="N2631" s="22"/>
      <c r="O2631" s="22"/>
      <c r="P2631" s="22"/>
    </row>
    <row r="2632" spans="11:16" s="1" customFormat="1" x14ac:dyDescent="0.25">
      <c r="K2632" s="28"/>
      <c r="L2632" s="28"/>
      <c r="N2632" s="22"/>
      <c r="O2632" s="22"/>
      <c r="P2632" s="22"/>
    </row>
    <row r="2633" spans="11:16" s="1" customFormat="1" x14ac:dyDescent="0.25">
      <c r="K2633" s="28"/>
      <c r="L2633" s="28"/>
      <c r="N2633" s="22"/>
      <c r="O2633" s="22"/>
      <c r="P2633" s="22"/>
    </row>
    <row r="2634" spans="11:16" s="1" customFormat="1" x14ac:dyDescent="0.25">
      <c r="K2634" s="28"/>
      <c r="L2634" s="28"/>
      <c r="N2634" s="22"/>
      <c r="O2634" s="22"/>
      <c r="P2634" s="22"/>
    </row>
    <row r="2635" spans="11:16" s="1" customFormat="1" x14ac:dyDescent="0.25">
      <c r="K2635" s="28"/>
      <c r="L2635" s="28"/>
      <c r="N2635" s="22"/>
      <c r="O2635" s="22"/>
      <c r="P2635" s="22"/>
    </row>
    <row r="2636" spans="11:16" s="1" customFormat="1" x14ac:dyDescent="0.25">
      <c r="K2636" s="28"/>
      <c r="L2636" s="28"/>
      <c r="N2636" s="22"/>
      <c r="O2636" s="22"/>
      <c r="P2636" s="22"/>
    </row>
    <row r="2637" spans="11:16" s="1" customFormat="1" x14ac:dyDescent="0.25">
      <c r="K2637" s="28"/>
      <c r="L2637" s="28"/>
      <c r="N2637" s="22"/>
      <c r="O2637" s="22"/>
      <c r="P2637" s="22"/>
    </row>
    <row r="2638" spans="11:16" s="1" customFormat="1" x14ac:dyDescent="0.25">
      <c r="K2638" s="28"/>
      <c r="L2638" s="28"/>
      <c r="N2638" s="22"/>
      <c r="O2638" s="22"/>
      <c r="P2638" s="22"/>
    </row>
    <row r="2639" spans="11:16" s="1" customFormat="1" x14ac:dyDescent="0.25">
      <c r="K2639" s="28"/>
      <c r="L2639" s="28"/>
      <c r="N2639" s="22"/>
      <c r="O2639" s="22"/>
      <c r="P2639" s="22"/>
    </row>
    <row r="2640" spans="11:16" s="1" customFormat="1" x14ac:dyDescent="0.25">
      <c r="K2640" s="28"/>
      <c r="L2640" s="28"/>
      <c r="N2640" s="22"/>
      <c r="O2640" s="22"/>
      <c r="P2640" s="22"/>
    </row>
    <row r="2641" spans="11:16" s="1" customFormat="1" x14ac:dyDescent="0.25">
      <c r="K2641" s="28"/>
      <c r="L2641" s="28"/>
      <c r="N2641" s="22"/>
      <c r="O2641" s="22"/>
      <c r="P2641" s="22"/>
    </row>
    <row r="2642" spans="11:16" s="1" customFormat="1" x14ac:dyDescent="0.25">
      <c r="K2642" s="28"/>
      <c r="L2642" s="28"/>
      <c r="N2642" s="22"/>
      <c r="O2642" s="22"/>
      <c r="P2642" s="22"/>
    </row>
    <row r="2643" spans="11:16" s="1" customFormat="1" x14ac:dyDescent="0.25">
      <c r="K2643" s="28"/>
      <c r="L2643" s="28"/>
      <c r="N2643" s="22"/>
      <c r="O2643" s="22"/>
      <c r="P2643" s="22"/>
    </row>
    <row r="2644" spans="11:16" s="1" customFormat="1" x14ac:dyDescent="0.25">
      <c r="K2644" s="28"/>
      <c r="L2644" s="28"/>
      <c r="N2644" s="22"/>
      <c r="O2644" s="22"/>
      <c r="P2644" s="22"/>
    </row>
    <row r="2645" spans="11:16" s="1" customFormat="1" x14ac:dyDescent="0.25">
      <c r="K2645" s="28"/>
      <c r="L2645" s="28"/>
      <c r="N2645" s="22"/>
      <c r="O2645" s="22"/>
      <c r="P2645" s="22"/>
    </row>
    <row r="2646" spans="11:16" s="1" customFormat="1" x14ac:dyDescent="0.25">
      <c r="K2646" s="28"/>
      <c r="L2646" s="28"/>
      <c r="N2646" s="22"/>
      <c r="O2646" s="22"/>
      <c r="P2646" s="22"/>
    </row>
    <row r="2647" spans="11:16" s="1" customFormat="1" x14ac:dyDescent="0.25">
      <c r="K2647" s="28"/>
      <c r="L2647" s="28"/>
      <c r="N2647" s="22"/>
      <c r="O2647" s="22"/>
      <c r="P2647" s="22"/>
    </row>
    <row r="2648" spans="11:16" s="1" customFormat="1" x14ac:dyDescent="0.25">
      <c r="K2648" s="28"/>
      <c r="L2648" s="28"/>
      <c r="N2648" s="22"/>
      <c r="O2648" s="22"/>
      <c r="P2648" s="22"/>
    </row>
    <row r="2649" spans="11:16" s="1" customFormat="1" x14ac:dyDescent="0.25">
      <c r="K2649" s="28"/>
      <c r="L2649" s="28"/>
      <c r="N2649" s="22"/>
      <c r="O2649" s="22"/>
      <c r="P2649" s="22"/>
    </row>
    <row r="2650" spans="11:16" s="1" customFormat="1" x14ac:dyDescent="0.25">
      <c r="K2650" s="28"/>
      <c r="L2650" s="28"/>
      <c r="N2650" s="22"/>
      <c r="O2650" s="22"/>
      <c r="P2650" s="22"/>
    </row>
    <row r="2651" spans="11:16" s="1" customFormat="1" x14ac:dyDescent="0.25">
      <c r="K2651" s="28"/>
      <c r="L2651" s="28"/>
      <c r="N2651" s="22"/>
      <c r="O2651" s="22"/>
      <c r="P2651" s="22"/>
    </row>
    <row r="2652" spans="11:16" s="1" customFormat="1" x14ac:dyDescent="0.25">
      <c r="K2652" s="28"/>
      <c r="L2652" s="28"/>
      <c r="N2652" s="22"/>
      <c r="O2652" s="22"/>
      <c r="P2652" s="22"/>
    </row>
    <row r="2653" spans="11:16" s="1" customFormat="1" x14ac:dyDescent="0.25">
      <c r="K2653" s="28"/>
      <c r="L2653" s="28"/>
      <c r="N2653" s="22"/>
      <c r="O2653" s="22"/>
      <c r="P2653" s="22"/>
    </row>
    <row r="2654" spans="11:16" s="1" customFormat="1" x14ac:dyDescent="0.25">
      <c r="K2654" s="28"/>
      <c r="L2654" s="28"/>
      <c r="N2654" s="22"/>
      <c r="O2654" s="22"/>
      <c r="P2654" s="22"/>
    </row>
    <row r="2655" spans="11:16" s="1" customFormat="1" x14ac:dyDescent="0.25">
      <c r="K2655" s="28"/>
      <c r="L2655" s="28"/>
      <c r="N2655" s="22"/>
      <c r="O2655" s="22"/>
      <c r="P2655" s="22"/>
    </row>
    <row r="2656" spans="11:16" s="1" customFormat="1" x14ac:dyDescent="0.25">
      <c r="K2656" s="28"/>
      <c r="L2656" s="28"/>
      <c r="N2656" s="22"/>
      <c r="O2656" s="22"/>
      <c r="P2656" s="22"/>
    </row>
    <row r="2657" spans="11:16" s="1" customFormat="1" x14ac:dyDescent="0.25">
      <c r="K2657" s="28"/>
      <c r="L2657" s="28"/>
      <c r="N2657" s="22"/>
      <c r="O2657" s="22"/>
      <c r="P2657" s="22"/>
    </row>
    <row r="2658" spans="11:16" s="1" customFormat="1" x14ac:dyDescent="0.25">
      <c r="K2658" s="28"/>
      <c r="L2658" s="28"/>
      <c r="N2658" s="22"/>
      <c r="O2658" s="22"/>
      <c r="P2658" s="22"/>
    </row>
    <row r="2659" spans="11:16" s="1" customFormat="1" x14ac:dyDescent="0.25">
      <c r="K2659" s="28"/>
      <c r="L2659" s="28"/>
      <c r="N2659" s="22"/>
      <c r="O2659" s="22"/>
      <c r="P2659" s="22"/>
    </row>
    <row r="2660" spans="11:16" s="1" customFormat="1" x14ac:dyDescent="0.25">
      <c r="K2660" s="28"/>
      <c r="L2660" s="28"/>
      <c r="N2660" s="22"/>
      <c r="O2660" s="22"/>
      <c r="P2660" s="22"/>
    </row>
    <row r="2661" spans="11:16" s="1" customFormat="1" x14ac:dyDescent="0.25">
      <c r="K2661" s="28"/>
      <c r="L2661" s="28"/>
      <c r="N2661" s="22"/>
      <c r="O2661" s="22"/>
      <c r="P2661" s="22"/>
    </row>
    <row r="2662" spans="11:16" s="1" customFormat="1" x14ac:dyDescent="0.25">
      <c r="K2662" s="28"/>
      <c r="L2662" s="28"/>
      <c r="N2662" s="22"/>
      <c r="O2662" s="22"/>
      <c r="P2662" s="22"/>
    </row>
    <row r="2663" spans="11:16" s="1" customFormat="1" x14ac:dyDescent="0.25">
      <c r="K2663" s="28"/>
      <c r="L2663" s="28"/>
      <c r="N2663" s="22"/>
      <c r="O2663" s="22"/>
      <c r="P2663" s="22"/>
    </row>
    <row r="2664" spans="11:16" s="1" customFormat="1" x14ac:dyDescent="0.25">
      <c r="K2664" s="28"/>
      <c r="L2664" s="28"/>
      <c r="N2664" s="22"/>
      <c r="O2664" s="22"/>
      <c r="P2664" s="22"/>
    </row>
    <row r="2665" spans="11:16" s="1" customFormat="1" x14ac:dyDescent="0.25">
      <c r="K2665" s="28"/>
      <c r="L2665" s="28"/>
      <c r="N2665" s="22"/>
      <c r="O2665" s="22"/>
      <c r="P2665" s="22"/>
    </row>
    <row r="2666" spans="11:16" s="1" customFormat="1" x14ac:dyDescent="0.25">
      <c r="K2666" s="28"/>
      <c r="L2666" s="28"/>
      <c r="N2666" s="22"/>
      <c r="O2666" s="22"/>
      <c r="P2666" s="22"/>
    </row>
    <row r="2667" spans="11:16" s="1" customFormat="1" x14ac:dyDescent="0.25">
      <c r="K2667" s="28"/>
      <c r="L2667" s="28"/>
      <c r="N2667" s="22"/>
      <c r="O2667" s="22"/>
      <c r="P2667" s="22"/>
    </row>
    <row r="2668" spans="11:16" s="1" customFormat="1" x14ac:dyDescent="0.25">
      <c r="K2668" s="28"/>
      <c r="L2668" s="28"/>
      <c r="N2668" s="22"/>
      <c r="O2668" s="22"/>
      <c r="P2668" s="22"/>
    </row>
    <row r="2669" spans="11:16" s="1" customFormat="1" x14ac:dyDescent="0.25">
      <c r="K2669" s="28"/>
      <c r="L2669" s="28"/>
      <c r="N2669" s="22"/>
      <c r="O2669" s="22"/>
      <c r="P2669" s="22"/>
    </row>
    <row r="2670" spans="11:16" s="1" customFormat="1" x14ac:dyDescent="0.25">
      <c r="K2670" s="28"/>
      <c r="L2670" s="28"/>
      <c r="N2670" s="22"/>
      <c r="O2670" s="22"/>
      <c r="P2670" s="22"/>
    </row>
    <row r="2671" spans="11:16" s="1" customFormat="1" x14ac:dyDescent="0.25">
      <c r="K2671" s="28"/>
      <c r="L2671" s="28"/>
      <c r="N2671" s="22"/>
      <c r="O2671" s="22"/>
      <c r="P2671" s="22"/>
    </row>
    <row r="2672" spans="11:16" s="1" customFormat="1" x14ac:dyDescent="0.25">
      <c r="K2672" s="28"/>
      <c r="L2672" s="28"/>
      <c r="N2672" s="22"/>
      <c r="O2672" s="22"/>
      <c r="P2672" s="22"/>
    </row>
    <row r="2673" spans="11:16" s="1" customFormat="1" x14ac:dyDescent="0.25">
      <c r="K2673" s="28"/>
      <c r="L2673" s="28"/>
      <c r="N2673" s="22"/>
      <c r="O2673" s="22"/>
      <c r="P2673" s="22"/>
    </row>
    <row r="2674" spans="11:16" s="1" customFormat="1" x14ac:dyDescent="0.25">
      <c r="K2674" s="28"/>
      <c r="L2674" s="28"/>
      <c r="N2674" s="22"/>
      <c r="O2674" s="22"/>
      <c r="P2674" s="22"/>
    </row>
    <row r="2675" spans="11:16" s="1" customFormat="1" x14ac:dyDescent="0.25">
      <c r="K2675" s="28"/>
      <c r="L2675" s="28"/>
      <c r="N2675" s="22"/>
      <c r="O2675" s="22"/>
      <c r="P2675" s="22"/>
    </row>
    <row r="2676" spans="11:16" s="1" customFormat="1" x14ac:dyDescent="0.25">
      <c r="K2676" s="28"/>
      <c r="L2676" s="28"/>
      <c r="N2676" s="22"/>
      <c r="O2676" s="22"/>
      <c r="P2676" s="22"/>
    </row>
    <row r="2677" spans="11:16" s="1" customFormat="1" x14ac:dyDescent="0.25">
      <c r="K2677" s="28"/>
      <c r="L2677" s="28"/>
      <c r="N2677" s="22"/>
      <c r="O2677" s="22"/>
      <c r="P2677" s="22"/>
    </row>
    <row r="2678" spans="11:16" s="1" customFormat="1" x14ac:dyDescent="0.25">
      <c r="K2678" s="28"/>
      <c r="L2678" s="28"/>
      <c r="N2678" s="22"/>
      <c r="O2678" s="22"/>
      <c r="P2678" s="22"/>
    </row>
    <row r="2679" spans="11:16" s="1" customFormat="1" x14ac:dyDescent="0.25">
      <c r="K2679" s="28"/>
      <c r="L2679" s="28"/>
      <c r="N2679" s="22"/>
      <c r="O2679" s="22"/>
      <c r="P2679" s="22"/>
    </row>
    <row r="2680" spans="11:16" s="1" customFormat="1" x14ac:dyDescent="0.25">
      <c r="K2680" s="28"/>
      <c r="L2680" s="28"/>
      <c r="N2680" s="22"/>
      <c r="O2680" s="22"/>
      <c r="P2680" s="22"/>
    </row>
    <row r="2681" spans="11:16" s="1" customFormat="1" x14ac:dyDescent="0.25">
      <c r="K2681" s="28"/>
      <c r="L2681" s="28"/>
      <c r="N2681" s="22"/>
      <c r="O2681" s="22"/>
      <c r="P2681" s="22"/>
    </row>
    <row r="2682" spans="11:16" s="1" customFormat="1" x14ac:dyDescent="0.25">
      <c r="K2682" s="28"/>
      <c r="L2682" s="28"/>
      <c r="N2682" s="22"/>
      <c r="O2682" s="22"/>
      <c r="P2682" s="22"/>
    </row>
    <row r="2683" spans="11:16" s="1" customFormat="1" x14ac:dyDescent="0.25">
      <c r="K2683" s="28"/>
      <c r="L2683" s="28"/>
      <c r="N2683" s="22"/>
      <c r="O2683" s="22"/>
      <c r="P2683" s="22"/>
    </row>
    <row r="2684" spans="11:16" s="1" customFormat="1" x14ac:dyDescent="0.25">
      <c r="K2684" s="28"/>
      <c r="L2684" s="28"/>
      <c r="N2684" s="22"/>
      <c r="O2684" s="22"/>
      <c r="P2684" s="22"/>
    </row>
    <row r="2685" spans="11:16" s="1" customFormat="1" x14ac:dyDescent="0.25">
      <c r="K2685" s="28"/>
      <c r="L2685" s="28"/>
      <c r="N2685" s="22"/>
      <c r="O2685" s="22"/>
      <c r="P2685" s="22"/>
    </row>
    <row r="2686" spans="11:16" s="1" customFormat="1" x14ac:dyDescent="0.25">
      <c r="K2686" s="28"/>
      <c r="L2686" s="28"/>
      <c r="N2686" s="22"/>
      <c r="O2686" s="22"/>
      <c r="P2686" s="22"/>
    </row>
    <row r="2687" spans="11:16" s="1" customFormat="1" x14ac:dyDescent="0.25">
      <c r="K2687" s="28"/>
      <c r="L2687" s="28"/>
      <c r="N2687" s="22"/>
      <c r="O2687" s="22"/>
      <c r="P2687" s="22"/>
    </row>
    <row r="2688" spans="11:16" s="1" customFormat="1" x14ac:dyDescent="0.25">
      <c r="K2688" s="28"/>
      <c r="L2688" s="28"/>
      <c r="N2688" s="22"/>
      <c r="O2688" s="22"/>
      <c r="P2688" s="22"/>
    </row>
    <row r="2689" spans="11:16" s="1" customFormat="1" x14ac:dyDescent="0.25">
      <c r="K2689" s="28"/>
      <c r="L2689" s="28"/>
      <c r="N2689" s="22"/>
      <c r="O2689" s="22"/>
      <c r="P2689" s="22"/>
    </row>
    <row r="2690" spans="11:16" s="1" customFormat="1" x14ac:dyDescent="0.25">
      <c r="K2690" s="28"/>
      <c r="L2690" s="28"/>
      <c r="N2690" s="22"/>
      <c r="O2690" s="22"/>
      <c r="P2690" s="22"/>
    </row>
    <row r="2691" spans="11:16" s="1" customFormat="1" x14ac:dyDescent="0.25">
      <c r="K2691" s="28"/>
      <c r="L2691" s="28"/>
      <c r="N2691" s="22"/>
      <c r="O2691" s="22"/>
      <c r="P2691" s="22"/>
    </row>
    <row r="2692" spans="11:16" s="1" customFormat="1" x14ac:dyDescent="0.25">
      <c r="K2692" s="28"/>
      <c r="L2692" s="28"/>
      <c r="N2692" s="22"/>
      <c r="O2692" s="22"/>
      <c r="P2692" s="22"/>
    </row>
    <row r="2693" spans="11:16" s="1" customFormat="1" x14ac:dyDescent="0.25">
      <c r="K2693" s="28"/>
      <c r="L2693" s="28"/>
      <c r="N2693" s="22"/>
      <c r="O2693" s="22"/>
      <c r="P2693" s="22"/>
    </row>
    <row r="2694" spans="11:16" s="1" customFormat="1" x14ac:dyDescent="0.25">
      <c r="K2694" s="28"/>
      <c r="L2694" s="28"/>
      <c r="N2694" s="22"/>
      <c r="O2694" s="22"/>
      <c r="P2694" s="22"/>
    </row>
    <row r="2695" spans="11:16" s="1" customFormat="1" x14ac:dyDescent="0.25">
      <c r="K2695" s="28"/>
      <c r="L2695" s="28"/>
      <c r="N2695" s="22"/>
      <c r="O2695" s="22"/>
      <c r="P2695" s="22"/>
    </row>
    <row r="2696" spans="11:16" s="1" customFormat="1" x14ac:dyDescent="0.25">
      <c r="K2696" s="28"/>
      <c r="L2696" s="28"/>
      <c r="N2696" s="22"/>
      <c r="O2696" s="22"/>
      <c r="P2696" s="22"/>
    </row>
    <row r="2697" spans="11:16" s="1" customFormat="1" x14ac:dyDescent="0.25">
      <c r="K2697" s="28"/>
      <c r="L2697" s="28"/>
      <c r="N2697" s="22"/>
      <c r="O2697" s="22"/>
      <c r="P2697" s="22"/>
    </row>
    <row r="2698" spans="11:16" s="1" customFormat="1" x14ac:dyDescent="0.25">
      <c r="K2698" s="28"/>
      <c r="L2698" s="28"/>
      <c r="N2698" s="22"/>
      <c r="O2698" s="22"/>
      <c r="P2698" s="22"/>
    </row>
    <row r="2699" spans="11:16" s="1" customFormat="1" x14ac:dyDescent="0.25">
      <c r="K2699" s="28"/>
      <c r="L2699" s="28"/>
      <c r="N2699" s="22"/>
      <c r="O2699" s="22"/>
      <c r="P2699" s="22"/>
    </row>
    <row r="2700" spans="11:16" s="1" customFormat="1" x14ac:dyDescent="0.25">
      <c r="K2700" s="28"/>
      <c r="L2700" s="28"/>
      <c r="N2700" s="22"/>
      <c r="O2700" s="22"/>
      <c r="P2700" s="22"/>
    </row>
    <row r="2701" spans="11:16" s="1" customFormat="1" x14ac:dyDescent="0.25">
      <c r="K2701" s="28"/>
      <c r="L2701" s="28"/>
      <c r="N2701" s="22"/>
      <c r="O2701" s="22"/>
      <c r="P2701" s="22"/>
    </row>
    <row r="2702" spans="11:16" s="1" customFormat="1" x14ac:dyDescent="0.25">
      <c r="K2702" s="28"/>
      <c r="L2702" s="28"/>
      <c r="N2702" s="22"/>
      <c r="O2702" s="22"/>
      <c r="P2702" s="22"/>
    </row>
    <row r="2703" spans="11:16" s="1" customFormat="1" x14ac:dyDescent="0.25">
      <c r="K2703" s="28"/>
      <c r="L2703" s="28"/>
      <c r="N2703" s="22"/>
      <c r="O2703" s="22"/>
      <c r="P2703" s="22"/>
    </row>
    <row r="2704" spans="11:16" s="1" customFormat="1" x14ac:dyDescent="0.25">
      <c r="K2704" s="28"/>
      <c r="L2704" s="28"/>
      <c r="N2704" s="22"/>
      <c r="O2704" s="22"/>
      <c r="P2704" s="22"/>
    </row>
    <row r="2705" spans="11:16" s="1" customFormat="1" x14ac:dyDescent="0.25">
      <c r="K2705" s="28"/>
      <c r="L2705" s="28"/>
      <c r="N2705" s="22"/>
      <c r="O2705" s="22"/>
      <c r="P2705" s="22"/>
    </row>
    <row r="2706" spans="11:16" s="1" customFormat="1" x14ac:dyDescent="0.25">
      <c r="K2706" s="28"/>
      <c r="L2706" s="28"/>
      <c r="N2706" s="22"/>
      <c r="O2706" s="22"/>
      <c r="P2706" s="22"/>
    </row>
    <row r="2707" spans="11:16" s="1" customFormat="1" x14ac:dyDescent="0.25">
      <c r="K2707" s="28"/>
      <c r="L2707" s="28"/>
      <c r="N2707" s="22"/>
      <c r="O2707" s="22"/>
      <c r="P2707" s="22"/>
    </row>
    <row r="2708" spans="11:16" s="1" customFormat="1" x14ac:dyDescent="0.25">
      <c r="K2708" s="28"/>
      <c r="L2708" s="28"/>
      <c r="N2708" s="22"/>
      <c r="O2708" s="22"/>
      <c r="P2708" s="22"/>
    </row>
    <row r="2709" spans="11:16" s="1" customFormat="1" x14ac:dyDescent="0.25">
      <c r="K2709" s="28"/>
      <c r="L2709" s="28"/>
      <c r="N2709" s="22"/>
      <c r="O2709" s="22"/>
      <c r="P2709" s="22"/>
    </row>
    <row r="2710" spans="11:16" s="1" customFormat="1" x14ac:dyDescent="0.25">
      <c r="K2710" s="28"/>
      <c r="L2710" s="28"/>
      <c r="N2710" s="22"/>
      <c r="O2710" s="22"/>
      <c r="P2710" s="22"/>
    </row>
    <row r="2711" spans="11:16" s="1" customFormat="1" x14ac:dyDescent="0.25">
      <c r="K2711" s="28"/>
      <c r="L2711" s="28"/>
      <c r="N2711" s="22"/>
      <c r="O2711" s="22"/>
      <c r="P2711" s="22"/>
    </row>
    <row r="2712" spans="11:16" s="1" customFormat="1" x14ac:dyDescent="0.25">
      <c r="K2712" s="28"/>
      <c r="L2712" s="28"/>
      <c r="N2712" s="22"/>
      <c r="O2712" s="22"/>
      <c r="P2712" s="22"/>
    </row>
    <row r="2713" spans="11:16" s="1" customFormat="1" x14ac:dyDescent="0.25">
      <c r="K2713" s="28"/>
      <c r="L2713" s="28"/>
      <c r="N2713" s="22"/>
      <c r="O2713" s="22"/>
      <c r="P2713" s="22"/>
    </row>
    <row r="2714" spans="11:16" s="1" customFormat="1" x14ac:dyDescent="0.25">
      <c r="K2714" s="28"/>
      <c r="L2714" s="28"/>
      <c r="N2714" s="22"/>
      <c r="O2714" s="22"/>
      <c r="P2714" s="22"/>
    </row>
    <row r="2715" spans="11:16" s="1" customFormat="1" x14ac:dyDescent="0.25">
      <c r="K2715" s="28"/>
      <c r="L2715" s="28"/>
      <c r="N2715" s="22"/>
      <c r="O2715" s="22"/>
      <c r="P2715" s="22"/>
    </row>
    <row r="2716" spans="11:16" s="1" customFormat="1" x14ac:dyDescent="0.25">
      <c r="K2716" s="28"/>
      <c r="L2716" s="28"/>
      <c r="N2716" s="22"/>
      <c r="O2716" s="22"/>
      <c r="P2716" s="22"/>
    </row>
    <row r="2717" spans="11:16" s="1" customFormat="1" x14ac:dyDescent="0.25">
      <c r="K2717" s="28"/>
      <c r="L2717" s="28"/>
      <c r="N2717" s="22"/>
      <c r="O2717" s="22"/>
      <c r="P2717" s="22"/>
    </row>
    <row r="2718" spans="11:16" s="1" customFormat="1" x14ac:dyDescent="0.25">
      <c r="K2718" s="28"/>
      <c r="L2718" s="28"/>
      <c r="N2718" s="22"/>
      <c r="O2718" s="22"/>
      <c r="P2718" s="22"/>
    </row>
    <row r="2719" spans="11:16" s="1" customFormat="1" x14ac:dyDescent="0.25">
      <c r="K2719" s="28"/>
      <c r="L2719" s="28"/>
      <c r="N2719" s="22"/>
      <c r="O2719" s="22"/>
      <c r="P2719" s="22"/>
    </row>
    <row r="2720" spans="11:16" s="1" customFormat="1" x14ac:dyDescent="0.25">
      <c r="K2720" s="28"/>
      <c r="L2720" s="28"/>
      <c r="N2720" s="22"/>
      <c r="O2720" s="22"/>
      <c r="P2720" s="22"/>
    </row>
    <row r="2721" spans="11:16" s="1" customFormat="1" x14ac:dyDescent="0.25">
      <c r="K2721" s="28"/>
      <c r="L2721" s="28"/>
      <c r="N2721" s="22"/>
      <c r="O2721" s="22"/>
      <c r="P2721" s="22"/>
    </row>
    <row r="2722" spans="11:16" s="1" customFormat="1" x14ac:dyDescent="0.25">
      <c r="K2722" s="28"/>
      <c r="L2722" s="28"/>
      <c r="N2722" s="22"/>
      <c r="O2722" s="22"/>
      <c r="P2722" s="22"/>
    </row>
    <row r="2723" spans="11:16" s="1" customFormat="1" x14ac:dyDescent="0.25">
      <c r="K2723" s="28"/>
      <c r="L2723" s="28"/>
      <c r="N2723" s="22"/>
      <c r="O2723" s="22"/>
      <c r="P2723" s="22"/>
    </row>
    <row r="2724" spans="11:16" s="1" customFormat="1" x14ac:dyDescent="0.25">
      <c r="K2724" s="28"/>
      <c r="L2724" s="28"/>
      <c r="N2724" s="22"/>
      <c r="O2724" s="22"/>
      <c r="P2724" s="22"/>
    </row>
    <row r="2725" spans="11:16" s="1" customFormat="1" x14ac:dyDescent="0.25">
      <c r="K2725" s="28"/>
      <c r="L2725" s="28"/>
      <c r="N2725" s="22"/>
      <c r="O2725" s="22"/>
      <c r="P2725" s="22"/>
    </row>
    <row r="2726" spans="11:16" s="1" customFormat="1" x14ac:dyDescent="0.25">
      <c r="K2726" s="28"/>
      <c r="L2726" s="28"/>
      <c r="N2726" s="22"/>
      <c r="O2726" s="22"/>
      <c r="P2726" s="22"/>
    </row>
    <row r="2727" spans="11:16" s="1" customFormat="1" x14ac:dyDescent="0.25">
      <c r="K2727" s="28"/>
      <c r="L2727" s="28"/>
      <c r="N2727" s="22"/>
      <c r="O2727" s="22"/>
      <c r="P2727" s="22"/>
    </row>
    <row r="2728" spans="11:16" s="1" customFormat="1" x14ac:dyDescent="0.25">
      <c r="K2728" s="28"/>
      <c r="L2728" s="28"/>
      <c r="N2728" s="22"/>
      <c r="O2728" s="22"/>
      <c r="P2728" s="22"/>
    </row>
    <row r="2729" spans="11:16" s="1" customFormat="1" x14ac:dyDescent="0.25">
      <c r="K2729" s="28"/>
      <c r="L2729" s="28"/>
      <c r="N2729" s="22"/>
      <c r="O2729" s="22"/>
      <c r="P2729" s="22"/>
    </row>
    <row r="2730" spans="11:16" s="1" customFormat="1" x14ac:dyDescent="0.25">
      <c r="K2730" s="28"/>
      <c r="L2730" s="28"/>
      <c r="N2730" s="22"/>
      <c r="O2730" s="22"/>
      <c r="P2730" s="22"/>
    </row>
    <row r="2731" spans="11:16" s="1" customFormat="1" x14ac:dyDescent="0.25">
      <c r="K2731" s="28"/>
      <c r="L2731" s="28"/>
      <c r="N2731" s="22"/>
      <c r="O2731" s="22"/>
      <c r="P2731" s="22"/>
    </row>
    <row r="2732" spans="11:16" s="1" customFormat="1" x14ac:dyDescent="0.25">
      <c r="K2732" s="28"/>
      <c r="L2732" s="28"/>
      <c r="N2732" s="22"/>
      <c r="O2732" s="22"/>
      <c r="P2732" s="22"/>
    </row>
    <row r="2733" spans="11:16" s="1" customFormat="1" x14ac:dyDescent="0.25">
      <c r="K2733" s="28"/>
      <c r="L2733" s="28"/>
      <c r="N2733" s="22"/>
      <c r="O2733" s="22"/>
      <c r="P2733" s="22"/>
    </row>
    <row r="2734" spans="11:16" s="1" customFormat="1" x14ac:dyDescent="0.25">
      <c r="K2734" s="28"/>
      <c r="L2734" s="28"/>
      <c r="N2734" s="22"/>
      <c r="O2734" s="22"/>
      <c r="P2734" s="22"/>
    </row>
    <row r="2735" spans="11:16" s="1" customFormat="1" x14ac:dyDescent="0.25">
      <c r="K2735" s="28"/>
      <c r="L2735" s="28"/>
      <c r="N2735" s="22"/>
      <c r="O2735" s="22"/>
      <c r="P2735" s="22"/>
    </row>
    <row r="2736" spans="11:16" s="1" customFormat="1" x14ac:dyDescent="0.25">
      <c r="K2736" s="28"/>
      <c r="L2736" s="28"/>
      <c r="N2736" s="22"/>
      <c r="O2736" s="22"/>
      <c r="P2736" s="22"/>
    </row>
    <row r="2737" spans="11:16" s="1" customFormat="1" x14ac:dyDescent="0.25">
      <c r="K2737" s="28"/>
      <c r="L2737" s="28"/>
      <c r="N2737" s="22"/>
      <c r="O2737" s="22"/>
      <c r="P2737" s="22"/>
    </row>
    <row r="2738" spans="11:16" s="1" customFormat="1" x14ac:dyDescent="0.25">
      <c r="K2738" s="28"/>
      <c r="L2738" s="28"/>
      <c r="N2738" s="22"/>
      <c r="O2738" s="22"/>
      <c r="P2738" s="22"/>
    </row>
    <row r="2739" spans="11:16" s="1" customFormat="1" x14ac:dyDescent="0.25">
      <c r="K2739" s="28"/>
      <c r="L2739" s="28"/>
      <c r="N2739" s="22"/>
      <c r="O2739" s="22"/>
      <c r="P2739" s="22"/>
    </row>
    <row r="2740" spans="11:16" s="1" customFormat="1" x14ac:dyDescent="0.25">
      <c r="K2740" s="28"/>
      <c r="L2740" s="28"/>
      <c r="N2740" s="22"/>
      <c r="O2740" s="22"/>
      <c r="P2740" s="22"/>
    </row>
    <row r="2741" spans="11:16" s="1" customFormat="1" x14ac:dyDescent="0.25">
      <c r="K2741" s="28"/>
      <c r="L2741" s="28"/>
      <c r="N2741" s="22"/>
      <c r="O2741" s="22"/>
      <c r="P2741" s="22"/>
    </row>
    <row r="2742" spans="11:16" s="1" customFormat="1" x14ac:dyDescent="0.25">
      <c r="K2742" s="28"/>
      <c r="L2742" s="28"/>
      <c r="N2742" s="22"/>
      <c r="O2742" s="22"/>
      <c r="P2742" s="22"/>
    </row>
    <row r="2743" spans="11:16" s="1" customFormat="1" x14ac:dyDescent="0.25">
      <c r="K2743" s="28"/>
      <c r="L2743" s="28"/>
      <c r="N2743" s="22"/>
      <c r="O2743" s="22"/>
      <c r="P2743" s="22"/>
    </row>
    <row r="2744" spans="11:16" s="1" customFormat="1" x14ac:dyDescent="0.25">
      <c r="K2744" s="28"/>
      <c r="L2744" s="28"/>
      <c r="N2744" s="22"/>
      <c r="O2744" s="22"/>
      <c r="P2744" s="22"/>
    </row>
    <row r="2745" spans="11:16" s="1" customFormat="1" x14ac:dyDescent="0.25">
      <c r="K2745" s="28"/>
      <c r="L2745" s="28"/>
      <c r="N2745" s="22"/>
      <c r="O2745" s="22"/>
      <c r="P2745" s="22"/>
    </row>
    <row r="2746" spans="11:16" s="1" customFormat="1" x14ac:dyDescent="0.25">
      <c r="K2746" s="28"/>
      <c r="L2746" s="28"/>
      <c r="N2746" s="22"/>
      <c r="O2746" s="22"/>
      <c r="P2746" s="22"/>
    </row>
    <row r="2747" spans="11:16" s="1" customFormat="1" x14ac:dyDescent="0.25">
      <c r="K2747" s="28"/>
      <c r="L2747" s="28"/>
      <c r="N2747" s="22"/>
      <c r="O2747" s="22"/>
      <c r="P2747" s="22"/>
    </row>
    <row r="2748" spans="11:16" s="1" customFormat="1" x14ac:dyDescent="0.25">
      <c r="K2748" s="28"/>
      <c r="L2748" s="28"/>
      <c r="N2748" s="22"/>
      <c r="O2748" s="22"/>
      <c r="P2748" s="22"/>
    </row>
    <row r="2749" spans="11:16" s="1" customFormat="1" x14ac:dyDescent="0.25">
      <c r="K2749" s="28"/>
      <c r="L2749" s="28"/>
      <c r="N2749" s="22"/>
      <c r="O2749" s="22"/>
      <c r="P2749" s="22"/>
    </row>
    <row r="2750" spans="11:16" s="1" customFormat="1" x14ac:dyDescent="0.25">
      <c r="K2750" s="28"/>
      <c r="L2750" s="28"/>
      <c r="N2750" s="22"/>
      <c r="O2750" s="22"/>
      <c r="P2750" s="22"/>
    </row>
    <row r="2751" spans="11:16" s="1" customFormat="1" x14ac:dyDescent="0.25">
      <c r="K2751" s="28"/>
      <c r="L2751" s="28"/>
      <c r="N2751" s="22"/>
      <c r="O2751" s="22"/>
      <c r="P2751" s="22"/>
    </row>
    <row r="2752" spans="11:16" s="1" customFormat="1" x14ac:dyDescent="0.25">
      <c r="K2752" s="28"/>
      <c r="L2752" s="28"/>
      <c r="N2752" s="22"/>
      <c r="O2752" s="22"/>
      <c r="P2752" s="22"/>
    </row>
    <row r="2753" spans="11:16" s="1" customFormat="1" x14ac:dyDescent="0.25">
      <c r="K2753" s="28"/>
      <c r="L2753" s="28"/>
      <c r="N2753" s="22"/>
      <c r="O2753" s="22"/>
      <c r="P2753" s="22"/>
    </row>
    <row r="2754" spans="11:16" s="1" customFormat="1" x14ac:dyDescent="0.25">
      <c r="K2754" s="28"/>
      <c r="L2754" s="28"/>
      <c r="N2754" s="22"/>
      <c r="O2754" s="22"/>
      <c r="P2754" s="22"/>
    </row>
    <row r="2755" spans="11:16" s="1" customFormat="1" x14ac:dyDescent="0.25">
      <c r="K2755" s="28"/>
      <c r="L2755" s="28"/>
      <c r="N2755" s="22"/>
      <c r="O2755" s="22"/>
      <c r="P2755" s="22"/>
    </row>
    <row r="2756" spans="11:16" s="1" customFormat="1" x14ac:dyDescent="0.25">
      <c r="K2756" s="28"/>
      <c r="L2756" s="28"/>
      <c r="N2756" s="22"/>
      <c r="O2756" s="22"/>
      <c r="P2756" s="22"/>
    </row>
    <row r="2757" spans="11:16" s="1" customFormat="1" x14ac:dyDescent="0.25">
      <c r="K2757" s="28"/>
      <c r="L2757" s="28"/>
      <c r="N2757" s="22"/>
      <c r="O2757" s="22"/>
      <c r="P2757" s="22"/>
    </row>
    <row r="2758" spans="11:16" s="1" customFormat="1" x14ac:dyDescent="0.25">
      <c r="K2758" s="28"/>
      <c r="L2758" s="28"/>
      <c r="N2758" s="22"/>
      <c r="O2758" s="22"/>
      <c r="P2758" s="22"/>
    </row>
    <row r="2759" spans="11:16" s="1" customFormat="1" x14ac:dyDescent="0.25">
      <c r="K2759" s="28"/>
      <c r="L2759" s="28"/>
      <c r="N2759" s="22"/>
      <c r="O2759" s="22"/>
      <c r="P2759" s="22"/>
    </row>
    <row r="2760" spans="11:16" s="1" customFormat="1" x14ac:dyDescent="0.25">
      <c r="K2760" s="28"/>
      <c r="L2760" s="28"/>
      <c r="N2760" s="22"/>
      <c r="O2760" s="22"/>
      <c r="P2760" s="22"/>
    </row>
    <row r="2761" spans="11:16" s="1" customFormat="1" x14ac:dyDescent="0.25">
      <c r="K2761" s="28"/>
      <c r="L2761" s="28"/>
      <c r="N2761" s="22"/>
      <c r="O2761" s="22"/>
      <c r="P2761" s="22"/>
    </row>
    <row r="2762" spans="11:16" s="1" customFormat="1" x14ac:dyDescent="0.25">
      <c r="K2762" s="28"/>
      <c r="L2762" s="28"/>
      <c r="N2762" s="22"/>
      <c r="O2762" s="22"/>
      <c r="P2762" s="22"/>
    </row>
    <row r="2763" spans="11:16" s="1" customFormat="1" x14ac:dyDescent="0.25">
      <c r="K2763" s="28"/>
      <c r="L2763" s="28"/>
      <c r="N2763" s="22"/>
      <c r="O2763" s="22"/>
      <c r="P2763" s="22"/>
    </row>
    <row r="2764" spans="11:16" s="1" customFormat="1" x14ac:dyDescent="0.25">
      <c r="K2764" s="28"/>
      <c r="L2764" s="28"/>
      <c r="N2764" s="22"/>
      <c r="O2764" s="22"/>
      <c r="P2764" s="22"/>
    </row>
    <row r="2765" spans="11:16" s="1" customFormat="1" x14ac:dyDescent="0.25">
      <c r="K2765" s="28"/>
      <c r="L2765" s="28"/>
      <c r="N2765" s="22"/>
      <c r="O2765" s="22"/>
      <c r="P2765" s="22"/>
    </row>
    <row r="2766" spans="11:16" s="1" customFormat="1" x14ac:dyDescent="0.25">
      <c r="K2766" s="28"/>
      <c r="L2766" s="28"/>
      <c r="N2766" s="22"/>
      <c r="O2766" s="22"/>
      <c r="P2766" s="22"/>
    </row>
    <row r="2767" spans="11:16" s="1" customFormat="1" x14ac:dyDescent="0.25">
      <c r="K2767" s="28"/>
      <c r="L2767" s="28"/>
      <c r="N2767" s="22"/>
      <c r="O2767" s="22"/>
      <c r="P2767" s="22"/>
    </row>
    <row r="2768" spans="11:16" s="1" customFormat="1" x14ac:dyDescent="0.25">
      <c r="K2768" s="28"/>
      <c r="L2768" s="28"/>
      <c r="N2768" s="22"/>
      <c r="O2768" s="22"/>
      <c r="P2768" s="22"/>
    </row>
    <row r="2769" spans="11:16" s="1" customFormat="1" x14ac:dyDescent="0.25">
      <c r="K2769" s="28"/>
      <c r="L2769" s="28"/>
      <c r="N2769" s="22"/>
      <c r="O2769" s="22"/>
      <c r="P2769" s="22"/>
    </row>
    <row r="2770" spans="11:16" s="1" customFormat="1" x14ac:dyDescent="0.25">
      <c r="K2770" s="28"/>
      <c r="L2770" s="28"/>
      <c r="N2770" s="22"/>
      <c r="O2770" s="22"/>
      <c r="P2770" s="22"/>
    </row>
    <row r="2771" spans="11:16" s="1" customFormat="1" x14ac:dyDescent="0.25">
      <c r="K2771" s="28"/>
      <c r="L2771" s="28"/>
      <c r="N2771" s="22"/>
      <c r="O2771" s="22"/>
      <c r="P2771" s="22"/>
    </row>
    <row r="2772" spans="11:16" s="1" customFormat="1" x14ac:dyDescent="0.25">
      <c r="K2772" s="28"/>
      <c r="L2772" s="28"/>
      <c r="N2772" s="22"/>
      <c r="O2772" s="22"/>
      <c r="P2772" s="22"/>
    </row>
    <row r="2773" spans="11:16" s="1" customFormat="1" x14ac:dyDescent="0.25">
      <c r="K2773" s="28"/>
      <c r="L2773" s="28"/>
      <c r="N2773" s="22"/>
      <c r="O2773" s="22"/>
      <c r="P2773" s="22"/>
    </row>
    <row r="2774" spans="11:16" s="1" customFormat="1" x14ac:dyDescent="0.25">
      <c r="K2774" s="28"/>
      <c r="L2774" s="28"/>
      <c r="N2774" s="22"/>
      <c r="O2774" s="22"/>
      <c r="P2774" s="22"/>
    </row>
    <row r="2775" spans="11:16" s="1" customFormat="1" x14ac:dyDescent="0.25">
      <c r="K2775" s="28"/>
      <c r="L2775" s="28"/>
      <c r="N2775" s="22"/>
      <c r="O2775" s="22"/>
      <c r="P2775" s="22"/>
    </row>
    <row r="2776" spans="11:16" s="1" customFormat="1" x14ac:dyDescent="0.25">
      <c r="K2776" s="28"/>
      <c r="L2776" s="28"/>
      <c r="N2776" s="22"/>
      <c r="O2776" s="22"/>
      <c r="P2776" s="22"/>
    </row>
    <row r="2777" spans="11:16" s="1" customFormat="1" x14ac:dyDescent="0.25">
      <c r="K2777" s="28"/>
      <c r="L2777" s="28"/>
      <c r="N2777" s="22"/>
      <c r="O2777" s="22"/>
      <c r="P2777" s="22"/>
    </row>
    <row r="2778" spans="11:16" s="1" customFormat="1" x14ac:dyDescent="0.25">
      <c r="K2778" s="28"/>
      <c r="L2778" s="28"/>
      <c r="N2778" s="22"/>
      <c r="O2778" s="22"/>
      <c r="P2778" s="22"/>
    </row>
    <row r="2779" spans="11:16" s="1" customFormat="1" x14ac:dyDescent="0.25">
      <c r="K2779" s="28"/>
      <c r="L2779" s="28"/>
      <c r="N2779" s="22"/>
      <c r="O2779" s="22"/>
      <c r="P2779" s="22"/>
    </row>
    <row r="2780" spans="11:16" s="1" customFormat="1" x14ac:dyDescent="0.25">
      <c r="K2780" s="28"/>
      <c r="L2780" s="28"/>
      <c r="N2780" s="22"/>
      <c r="O2780" s="22"/>
      <c r="P2780" s="22"/>
    </row>
    <row r="2781" spans="11:16" s="1" customFormat="1" x14ac:dyDescent="0.25">
      <c r="K2781" s="28"/>
      <c r="L2781" s="28"/>
      <c r="N2781" s="22"/>
      <c r="O2781" s="22"/>
      <c r="P2781" s="22"/>
    </row>
    <row r="2782" spans="11:16" s="1" customFormat="1" x14ac:dyDescent="0.25">
      <c r="K2782" s="28"/>
      <c r="L2782" s="28"/>
      <c r="N2782" s="22"/>
      <c r="O2782" s="22"/>
      <c r="P2782" s="22"/>
    </row>
    <row r="2783" spans="11:16" s="1" customFormat="1" x14ac:dyDescent="0.25">
      <c r="K2783" s="28"/>
      <c r="L2783" s="28"/>
      <c r="N2783" s="22"/>
      <c r="O2783" s="22"/>
      <c r="P2783" s="22"/>
    </row>
    <row r="2784" spans="11:16" s="1" customFormat="1" x14ac:dyDescent="0.25">
      <c r="K2784" s="28"/>
      <c r="L2784" s="28"/>
      <c r="N2784" s="22"/>
      <c r="O2784" s="22"/>
      <c r="P2784" s="22"/>
    </row>
    <row r="2785" spans="11:16" s="1" customFormat="1" x14ac:dyDescent="0.25">
      <c r="K2785" s="28"/>
      <c r="L2785" s="28"/>
      <c r="N2785" s="22"/>
      <c r="O2785" s="22"/>
      <c r="P2785" s="22"/>
    </row>
    <row r="2786" spans="11:16" s="1" customFormat="1" x14ac:dyDescent="0.25">
      <c r="K2786" s="28"/>
      <c r="L2786" s="28"/>
      <c r="N2786" s="22"/>
      <c r="O2786" s="22"/>
      <c r="P2786" s="22"/>
    </row>
    <row r="2787" spans="11:16" s="1" customFormat="1" x14ac:dyDescent="0.25">
      <c r="K2787" s="28"/>
      <c r="L2787" s="28"/>
      <c r="N2787" s="22"/>
      <c r="O2787" s="22"/>
      <c r="P2787" s="22"/>
    </row>
    <row r="2788" spans="11:16" s="1" customFormat="1" x14ac:dyDescent="0.25">
      <c r="K2788" s="28"/>
      <c r="L2788" s="28"/>
      <c r="N2788" s="22"/>
      <c r="O2788" s="22"/>
      <c r="P2788" s="22"/>
    </row>
    <row r="2789" spans="11:16" s="1" customFormat="1" x14ac:dyDescent="0.25">
      <c r="K2789" s="28"/>
      <c r="L2789" s="28"/>
      <c r="N2789" s="22"/>
      <c r="O2789" s="22"/>
      <c r="P2789" s="22"/>
    </row>
    <row r="2790" spans="11:16" s="1" customFormat="1" x14ac:dyDescent="0.25">
      <c r="K2790" s="28"/>
      <c r="L2790" s="28"/>
      <c r="N2790" s="22"/>
      <c r="O2790" s="22"/>
      <c r="P2790" s="22"/>
    </row>
    <row r="2791" spans="11:16" s="1" customFormat="1" x14ac:dyDescent="0.25">
      <c r="K2791" s="28"/>
      <c r="L2791" s="28"/>
      <c r="N2791" s="22"/>
      <c r="O2791" s="22"/>
      <c r="P2791" s="22"/>
    </row>
    <row r="2792" spans="11:16" s="1" customFormat="1" x14ac:dyDescent="0.25">
      <c r="K2792" s="28"/>
      <c r="L2792" s="28"/>
      <c r="N2792" s="22"/>
      <c r="O2792" s="22"/>
      <c r="P2792" s="22"/>
    </row>
    <row r="2793" spans="11:16" s="1" customFormat="1" x14ac:dyDescent="0.25">
      <c r="K2793" s="28"/>
      <c r="L2793" s="28"/>
      <c r="N2793" s="22"/>
      <c r="O2793" s="22"/>
      <c r="P2793" s="22"/>
    </row>
    <row r="2794" spans="11:16" s="1" customFormat="1" x14ac:dyDescent="0.25">
      <c r="K2794" s="28"/>
      <c r="L2794" s="28"/>
      <c r="N2794" s="22"/>
      <c r="O2794" s="22"/>
      <c r="P2794" s="22"/>
    </row>
    <row r="2795" spans="11:16" s="1" customFormat="1" x14ac:dyDescent="0.25">
      <c r="K2795" s="28"/>
      <c r="L2795" s="28"/>
      <c r="N2795" s="22"/>
      <c r="O2795" s="22"/>
      <c r="P2795" s="22"/>
    </row>
    <row r="2796" spans="11:16" s="1" customFormat="1" x14ac:dyDescent="0.25">
      <c r="K2796" s="28"/>
      <c r="L2796" s="28"/>
      <c r="N2796" s="22"/>
      <c r="O2796" s="22"/>
      <c r="P2796" s="22"/>
    </row>
    <row r="2797" spans="11:16" s="1" customFormat="1" x14ac:dyDescent="0.25">
      <c r="K2797" s="28"/>
      <c r="L2797" s="28"/>
      <c r="N2797" s="22"/>
      <c r="O2797" s="22"/>
      <c r="P2797" s="22"/>
    </row>
    <row r="2798" spans="11:16" s="1" customFormat="1" x14ac:dyDescent="0.25">
      <c r="K2798" s="28"/>
      <c r="L2798" s="28"/>
      <c r="N2798" s="22"/>
      <c r="O2798" s="22"/>
      <c r="P2798" s="22"/>
    </row>
    <row r="2799" spans="11:16" s="1" customFormat="1" x14ac:dyDescent="0.25">
      <c r="K2799" s="28"/>
      <c r="L2799" s="28"/>
      <c r="N2799" s="22"/>
      <c r="O2799" s="22"/>
      <c r="P2799" s="22"/>
    </row>
    <row r="2800" spans="11:16" s="1" customFormat="1" x14ac:dyDescent="0.25">
      <c r="K2800" s="28"/>
      <c r="L2800" s="28"/>
      <c r="N2800" s="22"/>
      <c r="O2800" s="22"/>
      <c r="P2800" s="22"/>
    </row>
    <row r="2801" spans="11:16" s="1" customFormat="1" x14ac:dyDescent="0.25">
      <c r="K2801" s="28"/>
      <c r="L2801" s="28"/>
      <c r="N2801" s="22"/>
      <c r="O2801" s="22"/>
      <c r="P2801" s="22"/>
    </row>
    <row r="2802" spans="11:16" s="1" customFormat="1" x14ac:dyDescent="0.25">
      <c r="K2802" s="28"/>
      <c r="L2802" s="28"/>
      <c r="N2802" s="22"/>
      <c r="O2802" s="22"/>
      <c r="P2802" s="22"/>
    </row>
    <row r="2803" spans="11:16" s="1" customFormat="1" x14ac:dyDescent="0.25">
      <c r="K2803" s="28"/>
      <c r="L2803" s="28"/>
      <c r="N2803" s="22"/>
      <c r="O2803" s="22"/>
      <c r="P2803" s="22"/>
    </row>
    <row r="2804" spans="11:16" s="1" customFormat="1" x14ac:dyDescent="0.25">
      <c r="K2804" s="28"/>
      <c r="L2804" s="28"/>
      <c r="N2804" s="22"/>
      <c r="O2804" s="22"/>
      <c r="P2804" s="22"/>
    </row>
    <row r="2805" spans="11:16" s="1" customFormat="1" x14ac:dyDescent="0.25">
      <c r="K2805" s="28"/>
      <c r="L2805" s="28"/>
      <c r="N2805" s="22"/>
      <c r="O2805" s="22"/>
      <c r="P2805" s="22"/>
    </row>
    <row r="2806" spans="11:16" s="1" customFormat="1" x14ac:dyDescent="0.25">
      <c r="K2806" s="28"/>
      <c r="L2806" s="28"/>
      <c r="N2806" s="22"/>
      <c r="O2806" s="22"/>
      <c r="P2806" s="22"/>
    </row>
    <row r="2807" spans="11:16" s="1" customFormat="1" x14ac:dyDescent="0.25">
      <c r="K2807" s="28"/>
      <c r="L2807" s="28"/>
      <c r="N2807" s="22"/>
      <c r="O2807" s="22"/>
      <c r="P2807" s="22"/>
    </row>
    <row r="2808" spans="11:16" s="1" customFormat="1" x14ac:dyDescent="0.25">
      <c r="K2808" s="28"/>
      <c r="L2808" s="28"/>
      <c r="N2808" s="22"/>
      <c r="O2808" s="22"/>
      <c r="P2808" s="22"/>
    </row>
    <row r="2809" spans="11:16" s="1" customFormat="1" x14ac:dyDescent="0.25">
      <c r="K2809" s="28"/>
      <c r="L2809" s="28"/>
      <c r="N2809" s="22"/>
      <c r="O2809" s="22"/>
      <c r="P2809" s="22"/>
    </row>
    <row r="2810" spans="11:16" s="1" customFormat="1" x14ac:dyDescent="0.25">
      <c r="K2810" s="28"/>
      <c r="L2810" s="28"/>
      <c r="N2810" s="22"/>
      <c r="O2810" s="22"/>
      <c r="P2810" s="22"/>
    </row>
    <row r="2811" spans="11:16" s="1" customFormat="1" x14ac:dyDescent="0.25">
      <c r="K2811" s="28"/>
      <c r="L2811" s="28"/>
      <c r="N2811" s="22"/>
      <c r="O2811" s="22"/>
      <c r="P2811" s="22"/>
    </row>
    <row r="2812" spans="11:16" s="1" customFormat="1" x14ac:dyDescent="0.25">
      <c r="K2812" s="28"/>
      <c r="L2812" s="28"/>
      <c r="N2812" s="22"/>
      <c r="O2812" s="22"/>
      <c r="P2812" s="22"/>
    </row>
    <row r="2813" spans="11:16" s="1" customFormat="1" x14ac:dyDescent="0.25">
      <c r="K2813" s="28"/>
      <c r="L2813" s="28"/>
      <c r="N2813" s="22"/>
      <c r="O2813" s="22"/>
      <c r="P2813" s="22"/>
    </row>
    <row r="2814" spans="11:16" s="1" customFormat="1" x14ac:dyDescent="0.25">
      <c r="K2814" s="28"/>
      <c r="L2814" s="28"/>
      <c r="N2814" s="22"/>
      <c r="O2814" s="22"/>
      <c r="P2814" s="22"/>
    </row>
    <row r="2815" spans="11:16" s="1" customFormat="1" x14ac:dyDescent="0.25">
      <c r="K2815" s="28"/>
      <c r="L2815" s="28"/>
      <c r="N2815" s="22"/>
      <c r="O2815" s="22"/>
      <c r="P2815" s="22"/>
    </row>
    <row r="2816" spans="11:16" s="1" customFormat="1" x14ac:dyDescent="0.25">
      <c r="K2816" s="28"/>
      <c r="L2816" s="28"/>
      <c r="N2816" s="22"/>
      <c r="O2816" s="22"/>
      <c r="P2816" s="22"/>
    </row>
    <row r="2817" spans="11:16" s="1" customFormat="1" x14ac:dyDescent="0.25">
      <c r="K2817" s="28"/>
      <c r="L2817" s="28"/>
      <c r="N2817" s="22"/>
      <c r="O2817" s="22"/>
      <c r="P2817" s="22"/>
    </row>
    <row r="2818" spans="11:16" s="1" customFormat="1" x14ac:dyDescent="0.25">
      <c r="K2818" s="28"/>
      <c r="L2818" s="28"/>
      <c r="N2818" s="22"/>
      <c r="O2818" s="22"/>
      <c r="P2818" s="22"/>
    </row>
    <row r="2819" spans="11:16" s="1" customFormat="1" x14ac:dyDescent="0.25">
      <c r="K2819" s="28"/>
      <c r="L2819" s="28"/>
      <c r="N2819" s="22"/>
      <c r="O2819" s="22"/>
      <c r="P2819" s="22"/>
    </row>
    <row r="2820" spans="11:16" s="1" customFormat="1" x14ac:dyDescent="0.25">
      <c r="K2820" s="28"/>
      <c r="L2820" s="28"/>
      <c r="N2820" s="22"/>
      <c r="O2820" s="22"/>
      <c r="P2820" s="22"/>
    </row>
    <row r="2821" spans="11:16" s="1" customFormat="1" x14ac:dyDescent="0.25">
      <c r="K2821" s="28"/>
      <c r="L2821" s="28"/>
      <c r="N2821" s="22"/>
      <c r="O2821" s="22"/>
      <c r="P2821" s="22"/>
    </row>
    <row r="2822" spans="11:16" s="1" customFormat="1" x14ac:dyDescent="0.25">
      <c r="K2822" s="28"/>
      <c r="L2822" s="28"/>
      <c r="N2822" s="22"/>
      <c r="O2822" s="22"/>
      <c r="P2822" s="22"/>
    </row>
    <row r="2823" spans="11:16" s="1" customFormat="1" x14ac:dyDescent="0.25">
      <c r="K2823" s="28"/>
      <c r="L2823" s="28"/>
      <c r="N2823" s="22"/>
      <c r="O2823" s="22"/>
      <c r="P2823" s="22"/>
    </row>
    <row r="2824" spans="11:16" s="1" customFormat="1" x14ac:dyDescent="0.25">
      <c r="K2824" s="28"/>
      <c r="L2824" s="28"/>
      <c r="N2824" s="22"/>
      <c r="O2824" s="22"/>
      <c r="P2824" s="22"/>
    </row>
    <row r="2825" spans="11:16" s="1" customFormat="1" x14ac:dyDescent="0.25">
      <c r="K2825" s="28"/>
      <c r="L2825" s="28"/>
      <c r="N2825" s="22"/>
      <c r="O2825" s="22"/>
      <c r="P2825" s="22"/>
    </row>
    <row r="2826" spans="11:16" s="1" customFormat="1" x14ac:dyDescent="0.25">
      <c r="K2826" s="28"/>
      <c r="L2826" s="28"/>
      <c r="N2826" s="22"/>
      <c r="O2826" s="22"/>
      <c r="P2826" s="22"/>
    </row>
    <row r="2827" spans="11:16" s="1" customFormat="1" x14ac:dyDescent="0.25">
      <c r="K2827" s="28"/>
      <c r="L2827" s="28"/>
      <c r="N2827" s="22"/>
      <c r="O2827" s="22"/>
      <c r="P2827" s="22"/>
    </row>
    <row r="2828" spans="11:16" s="1" customFormat="1" x14ac:dyDescent="0.25">
      <c r="K2828" s="28"/>
      <c r="L2828" s="28"/>
      <c r="N2828" s="22"/>
      <c r="O2828" s="22"/>
      <c r="P2828" s="22"/>
    </row>
    <row r="2829" spans="11:16" s="1" customFormat="1" x14ac:dyDescent="0.25">
      <c r="K2829" s="28"/>
      <c r="L2829" s="28"/>
      <c r="N2829" s="22"/>
      <c r="O2829" s="22"/>
      <c r="P2829" s="22"/>
    </row>
    <row r="2830" spans="11:16" s="1" customFormat="1" x14ac:dyDescent="0.25">
      <c r="K2830" s="28"/>
      <c r="L2830" s="28"/>
      <c r="N2830" s="22"/>
      <c r="O2830" s="22"/>
      <c r="P2830" s="22"/>
    </row>
    <row r="2831" spans="11:16" s="1" customFormat="1" x14ac:dyDescent="0.25">
      <c r="K2831" s="28"/>
      <c r="L2831" s="28"/>
      <c r="N2831" s="22"/>
      <c r="O2831" s="22"/>
      <c r="P2831" s="22"/>
    </row>
    <row r="2832" spans="11:16" s="1" customFormat="1" x14ac:dyDescent="0.25">
      <c r="K2832" s="28"/>
      <c r="L2832" s="28"/>
      <c r="N2832" s="22"/>
      <c r="O2832" s="22"/>
      <c r="P2832" s="22"/>
    </row>
    <row r="2833" spans="11:16" s="1" customFormat="1" x14ac:dyDescent="0.25">
      <c r="K2833" s="28"/>
      <c r="L2833" s="28"/>
      <c r="N2833" s="22"/>
      <c r="O2833" s="22"/>
      <c r="P2833" s="22"/>
    </row>
    <row r="2834" spans="11:16" s="1" customFormat="1" x14ac:dyDescent="0.25">
      <c r="K2834" s="28"/>
      <c r="L2834" s="28"/>
      <c r="N2834" s="22"/>
      <c r="O2834" s="22"/>
      <c r="P2834" s="22"/>
    </row>
    <row r="2835" spans="11:16" s="1" customFormat="1" x14ac:dyDescent="0.25">
      <c r="K2835" s="28"/>
      <c r="L2835" s="28"/>
      <c r="N2835" s="22"/>
      <c r="O2835" s="22"/>
      <c r="P2835" s="22"/>
    </row>
    <row r="2836" spans="11:16" s="1" customFormat="1" x14ac:dyDescent="0.25">
      <c r="K2836" s="28"/>
      <c r="L2836" s="28"/>
      <c r="N2836" s="22"/>
      <c r="O2836" s="22"/>
      <c r="P2836" s="22"/>
    </row>
    <row r="2837" spans="11:16" s="1" customFormat="1" x14ac:dyDescent="0.25">
      <c r="K2837" s="28"/>
      <c r="L2837" s="28"/>
      <c r="N2837" s="22"/>
      <c r="O2837" s="22"/>
      <c r="P2837" s="22"/>
    </row>
    <row r="2838" spans="11:16" s="1" customFormat="1" x14ac:dyDescent="0.25">
      <c r="K2838" s="28"/>
      <c r="L2838" s="28"/>
      <c r="N2838" s="22"/>
      <c r="O2838" s="22"/>
      <c r="P2838" s="22"/>
    </row>
    <row r="2839" spans="11:16" s="1" customFormat="1" x14ac:dyDescent="0.25">
      <c r="K2839" s="28"/>
      <c r="L2839" s="28"/>
      <c r="N2839" s="22"/>
      <c r="O2839" s="22"/>
      <c r="P2839" s="22"/>
    </row>
    <row r="2840" spans="11:16" s="1" customFormat="1" x14ac:dyDescent="0.25">
      <c r="K2840" s="28"/>
      <c r="L2840" s="28"/>
      <c r="N2840" s="22"/>
      <c r="O2840" s="22"/>
      <c r="P2840" s="22"/>
    </row>
    <row r="2841" spans="11:16" s="1" customFormat="1" x14ac:dyDescent="0.25">
      <c r="K2841" s="28"/>
      <c r="L2841" s="28"/>
      <c r="N2841" s="22"/>
      <c r="O2841" s="22"/>
      <c r="P2841" s="22"/>
    </row>
    <row r="2842" spans="11:16" s="1" customFormat="1" x14ac:dyDescent="0.25">
      <c r="K2842" s="28"/>
      <c r="L2842" s="28"/>
      <c r="N2842" s="22"/>
      <c r="O2842" s="22"/>
      <c r="P2842" s="22"/>
    </row>
    <row r="2843" spans="11:16" s="1" customFormat="1" x14ac:dyDescent="0.25">
      <c r="K2843" s="28"/>
      <c r="L2843" s="28"/>
      <c r="N2843" s="22"/>
      <c r="O2843" s="22"/>
      <c r="P2843" s="22"/>
    </row>
    <row r="2844" spans="11:16" s="1" customFormat="1" x14ac:dyDescent="0.25">
      <c r="K2844" s="28"/>
      <c r="L2844" s="28"/>
      <c r="N2844" s="22"/>
      <c r="O2844" s="22"/>
      <c r="P2844" s="22"/>
    </row>
    <row r="2845" spans="11:16" s="1" customFormat="1" x14ac:dyDescent="0.25">
      <c r="K2845" s="28"/>
      <c r="L2845" s="28"/>
      <c r="N2845" s="22"/>
      <c r="O2845" s="22"/>
      <c r="P2845" s="22"/>
    </row>
    <row r="2846" spans="11:16" s="1" customFormat="1" x14ac:dyDescent="0.25">
      <c r="K2846" s="28"/>
      <c r="L2846" s="28"/>
      <c r="N2846" s="22"/>
      <c r="O2846" s="22"/>
      <c r="P2846" s="22"/>
    </row>
    <row r="2847" spans="11:16" s="1" customFormat="1" x14ac:dyDescent="0.25">
      <c r="K2847" s="28"/>
      <c r="L2847" s="28"/>
      <c r="N2847" s="22"/>
      <c r="O2847" s="22"/>
      <c r="P2847" s="22"/>
    </row>
    <row r="2848" spans="11:16" s="1" customFormat="1" x14ac:dyDescent="0.25">
      <c r="K2848" s="28"/>
      <c r="L2848" s="28"/>
      <c r="N2848" s="22"/>
      <c r="O2848" s="22"/>
      <c r="P2848" s="22"/>
    </row>
    <row r="2849" spans="11:16" s="1" customFormat="1" x14ac:dyDescent="0.25">
      <c r="K2849" s="28"/>
      <c r="L2849" s="28"/>
      <c r="N2849" s="22"/>
      <c r="O2849" s="22"/>
      <c r="P2849" s="22"/>
    </row>
    <row r="2850" spans="11:16" s="1" customFormat="1" x14ac:dyDescent="0.25">
      <c r="K2850" s="28"/>
      <c r="L2850" s="28"/>
      <c r="N2850" s="22"/>
      <c r="O2850" s="22"/>
      <c r="P2850" s="22"/>
    </row>
    <row r="2851" spans="11:16" s="1" customFormat="1" x14ac:dyDescent="0.25">
      <c r="K2851" s="28"/>
      <c r="L2851" s="28"/>
      <c r="N2851" s="22"/>
      <c r="O2851" s="22"/>
      <c r="P2851" s="22"/>
    </row>
    <row r="2852" spans="11:16" s="1" customFormat="1" x14ac:dyDescent="0.25">
      <c r="K2852" s="28"/>
      <c r="L2852" s="28"/>
      <c r="N2852" s="22"/>
      <c r="O2852" s="22"/>
      <c r="P2852" s="22"/>
    </row>
    <row r="2853" spans="11:16" s="1" customFormat="1" x14ac:dyDescent="0.25">
      <c r="K2853" s="28"/>
      <c r="L2853" s="28"/>
      <c r="N2853" s="22"/>
      <c r="O2853" s="22"/>
      <c r="P2853" s="22"/>
    </row>
    <row r="2854" spans="11:16" s="1" customFormat="1" x14ac:dyDescent="0.25">
      <c r="K2854" s="28"/>
      <c r="L2854" s="28"/>
      <c r="N2854" s="22"/>
      <c r="O2854" s="22"/>
      <c r="P2854" s="22"/>
    </row>
    <row r="2855" spans="11:16" s="1" customFormat="1" x14ac:dyDescent="0.25">
      <c r="K2855" s="28"/>
      <c r="L2855" s="28"/>
      <c r="N2855" s="22"/>
      <c r="O2855" s="22"/>
      <c r="P2855" s="22"/>
    </row>
    <row r="2856" spans="11:16" s="1" customFormat="1" x14ac:dyDescent="0.25">
      <c r="K2856" s="28"/>
      <c r="L2856" s="28"/>
      <c r="N2856" s="22"/>
      <c r="O2856" s="22"/>
      <c r="P2856" s="22"/>
    </row>
    <row r="2857" spans="11:16" s="1" customFormat="1" x14ac:dyDescent="0.25">
      <c r="K2857" s="28"/>
      <c r="L2857" s="28"/>
      <c r="N2857" s="22"/>
      <c r="O2857" s="22"/>
      <c r="P2857" s="22"/>
    </row>
    <row r="2858" spans="11:16" s="1" customFormat="1" x14ac:dyDescent="0.25">
      <c r="K2858" s="28"/>
      <c r="L2858" s="28"/>
      <c r="N2858" s="22"/>
      <c r="O2858" s="22"/>
      <c r="P2858" s="22"/>
    </row>
    <row r="2859" spans="11:16" s="1" customFormat="1" x14ac:dyDescent="0.25">
      <c r="K2859" s="28"/>
      <c r="L2859" s="28"/>
      <c r="N2859" s="22"/>
      <c r="O2859" s="22"/>
      <c r="P2859" s="22"/>
    </row>
    <row r="2860" spans="11:16" s="1" customFormat="1" x14ac:dyDescent="0.25">
      <c r="K2860" s="28"/>
      <c r="L2860" s="28"/>
      <c r="N2860" s="22"/>
      <c r="O2860" s="22"/>
      <c r="P2860" s="22"/>
    </row>
    <row r="2861" spans="11:16" s="1" customFormat="1" x14ac:dyDescent="0.25">
      <c r="K2861" s="28"/>
      <c r="L2861" s="28"/>
      <c r="N2861" s="22"/>
      <c r="O2861" s="22"/>
      <c r="P2861" s="22"/>
    </row>
    <row r="2862" spans="11:16" s="1" customFormat="1" x14ac:dyDescent="0.25">
      <c r="K2862" s="28"/>
      <c r="L2862" s="28"/>
      <c r="N2862" s="22"/>
      <c r="O2862" s="22"/>
      <c r="P2862" s="22"/>
    </row>
    <row r="2863" spans="11:16" s="1" customFormat="1" x14ac:dyDescent="0.25">
      <c r="K2863" s="28"/>
      <c r="L2863" s="28"/>
      <c r="N2863" s="22"/>
      <c r="O2863" s="22"/>
      <c r="P2863" s="22"/>
    </row>
    <row r="2864" spans="11:16" s="1" customFormat="1" x14ac:dyDescent="0.25">
      <c r="K2864" s="28"/>
      <c r="L2864" s="28"/>
      <c r="N2864" s="22"/>
      <c r="O2864" s="22"/>
      <c r="P2864" s="22"/>
    </row>
    <row r="2865" spans="11:16" s="1" customFormat="1" x14ac:dyDescent="0.25">
      <c r="K2865" s="28"/>
      <c r="L2865" s="28"/>
      <c r="N2865" s="22"/>
      <c r="O2865" s="22"/>
      <c r="P2865" s="22"/>
    </row>
    <row r="2866" spans="11:16" s="1" customFormat="1" x14ac:dyDescent="0.25">
      <c r="K2866" s="28"/>
      <c r="L2866" s="28"/>
      <c r="N2866" s="22"/>
      <c r="O2866" s="22"/>
      <c r="P2866" s="22"/>
    </row>
    <row r="2867" spans="11:16" s="1" customFormat="1" x14ac:dyDescent="0.25">
      <c r="K2867" s="28"/>
      <c r="L2867" s="28"/>
      <c r="N2867" s="22"/>
      <c r="O2867" s="22"/>
      <c r="P2867" s="22"/>
    </row>
    <row r="2868" spans="11:16" s="1" customFormat="1" x14ac:dyDescent="0.25">
      <c r="K2868" s="28"/>
      <c r="L2868" s="28"/>
      <c r="N2868" s="22"/>
      <c r="O2868" s="22"/>
      <c r="P2868" s="22"/>
    </row>
    <row r="2869" spans="11:16" s="1" customFormat="1" x14ac:dyDescent="0.25">
      <c r="K2869" s="28"/>
      <c r="L2869" s="28"/>
      <c r="N2869" s="22"/>
      <c r="O2869" s="22"/>
      <c r="P2869" s="22"/>
    </row>
    <row r="2870" spans="11:16" s="1" customFormat="1" x14ac:dyDescent="0.25">
      <c r="K2870" s="28"/>
      <c r="L2870" s="28"/>
      <c r="N2870" s="22"/>
      <c r="O2870" s="22"/>
      <c r="P2870" s="22"/>
    </row>
    <row r="2871" spans="11:16" s="1" customFormat="1" x14ac:dyDescent="0.25">
      <c r="K2871" s="28"/>
      <c r="L2871" s="28"/>
      <c r="N2871" s="22"/>
      <c r="O2871" s="22"/>
      <c r="P2871" s="22"/>
    </row>
    <row r="2872" spans="11:16" s="1" customFormat="1" x14ac:dyDescent="0.25">
      <c r="K2872" s="28"/>
      <c r="L2872" s="28"/>
      <c r="N2872" s="22"/>
      <c r="O2872" s="22"/>
      <c r="P2872" s="22"/>
    </row>
    <row r="2873" spans="11:16" s="1" customFormat="1" x14ac:dyDescent="0.25">
      <c r="K2873" s="28"/>
      <c r="L2873" s="28"/>
      <c r="N2873" s="22"/>
      <c r="O2873" s="22"/>
      <c r="P2873" s="22"/>
    </row>
    <row r="2874" spans="11:16" s="1" customFormat="1" x14ac:dyDescent="0.25">
      <c r="K2874" s="28"/>
      <c r="L2874" s="28"/>
      <c r="N2874" s="22"/>
      <c r="O2874" s="22"/>
      <c r="P2874" s="22"/>
    </row>
    <row r="2875" spans="11:16" s="1" customFormat="1" x14ac:dyDescent="0.25">
      <c r="K2875" s="28"/>
      <c r="L2875" s="28"/>
      <c r="N2875" s="22"/>
      <c r="O2875" s="22"/>
      <c r="P2875" s="22"/>
    </row>
    <row r="2876" spans="11:16" s="1" customFormat="1" x14ac:dyDescent="0.25">
      <c r="K2876" s="28"/>
      <c r="L2876" s="28"/>
      <c r="N2876" s="22"/>
      <c r="O2876" s="22"/>
      <c r="P2876" s="22"/>
    </row>
    <row r="2877" spans="11:16" s="1" customFormat="1" x14ac:dyDescent="0.25">
      <c r="K2877" s="28"/>
      <c r="L2877" s="28"/>
      <c r="N2877" s="22"/>
      <c r="O2877" s="22"/>
      <c r="P2877" s="22"/>
    </row>
    <row r="2878" spans="11:16" s="1" customFormat="1" x14ac:dyDescent="0.25">
      <c r="K2878" s="28"/>
      <c r="L2878" s="28"/>
      <c r="N2878" s="22"/>
      <c r="O2878" s="22"/>
      <c r="P2878" s="22"/>
    </row>
    <row r="2879" spans="11:16" s="1" customFormat="1" x14ac:dyDescent="0.25">
      <c r="K2879" s="28"/>
      <c r="L2879" s="28"/>
      <c r="N2879" s="22"/>
      <c r="O2879" s="22"/>
      <c r="P2879" s="22"/>
    </row>
    <row r="2880" spans="11:16" s="1" customFormat="1" x14ac:dyDescent="0.25">
      <c r="K2880" s="28"/>
      <c r="L2880" s="28"/>
      <c r="N2880" s="22"/>
      <c r="O2880" s="22"/>
      <c r="P2880" s="22"/>
    </row>
    <row r="2881" spans="11:16" s="1" customFormat="1" x14ac:dyDescent="0.25">
      <c r="K2881" s="28"/>
      <c r="L2881" s="28"/>
      <c r="N2881" s="22"/>
      <c r="O2881" s="22"/>
      <c r="P2881" s="22"/>
    </row>
    <row r="2882" spans="11:16" s="1" customFormat="1" x14ac:dyDescent="0.25">
      <c r="K2882" s="28"/>
      <c r="L2882" s="28"/>
      <c r="N2882" s="22"/>
      <c r="O2882" s="22"/>
      <c r="P2882" s="22"/>
    </row>
    <row r="2883" spans="11:16" s="1" customFormat="1" x14ac:dyDescent="0.25">
      <c r="K2883" s="28"/>
      <c r="L2883" s="28"/>
      <c r="N2883" s="22"/>
      <c r="O2883" s="22"/>
      <c r="P2883" s="22"/>
    </row>
    <row r="2884" spans="11:16" s="1" customFormat="1" x14ac:dyDescent="0.25">
      <c r="K2884" s="28"/>
      <c r="L2884" s="28"/>
      <c r="N2884" s="22"/>
      <c r="O2884" s="22"/>
      <c r="P2884" s="22"/>
    </row>
    <row r="2885" spans="11:16" s="1" customFormat="1" x14ac:dyDescent="0.25">
      <c r="K2885" s="28"/>
      <c r="L2885" s="28"/>
      <c r="N2885" s="22"/>
      <c r="O2885" s="22"/>
      <c r="P2885" s="22"/>
    </row>
    <row r="2886" spans="11:16" s="1" customFormat="1" x14ac:dyDescent="0.25">
      <c r="K2886" s="28"/>
      <c r="L2886" s="28"/>
      <c r="N2886" s="22"/>
      <c r="O2886" s="22"/>
      <c r="P2886" s="22"/>
    </row>
    <row r="2887" spans="11:16" s="1" customFormat="1" x14ac:dyDescent="0.25">
      <c r="K2887" s="28"/>
      <c r="L2887" s="28"/>
      <c r="N2887" s="22"/>
      <c r="O2887" s="22"/>
      <c r="P2887" s="22"/>
    </row>
    <row r="2888" spans="11:16" s="1" customFormat="1" x14ac:dyDescent="0.25">
      <c r="K2888" s="28"/>
      <c r="L2888" s="28"/>
      <c r="N2888" s="22"/>
      <c r="O2888" s="22"/>
      <c r="P2888" s="22"/>
    </row>
    <row r="2889" spans="11:16" s="1" customFormat="1" x14ac:dyDescent="0.25">
      <c r="K2889" s="28"/>
      <c r="L2889" s="28"/>
      <c r="N2889" s="22"/>
      <c r="O2889" s="22"/>
      <c r="P2889" s="22"/>
    </row>
    <row r="2890" spans="11:16" s="1" customFormat="1" x14ac:dyDescent="0.25">
      <c r="K2890" s="28"/>
      <c r="L2890" s="28"/>
      <c r="N2890" s="22"/>
      <c r="O2890" s="22"/>
      <c r="P2890" s="22"/>
    </row>
    <row r="2891" spans="11:16" s="1" customFormat="1" x14ac:dyDescent="0.25">
      <c r="K2891" s="28"/>
      <c r="L2891" s="28"/>
      <c r="N2891" s="22"/>
      <c r="O2891" s="22"/>
      <c r="P2891" s="22"/>
    </row>
    <row r="2892" spans="11:16" s="1" customFormat="1" x14ac:dyDescent="0.25">
      <c r="K2892" s="28"/>
      <c r="L2892" s="28"/>
      <c r="N2892" s="22"/>
      <c r="O2892" s="22"/>
      <c r="P2892" s="22"/>
    </row>
    <row r="2893" spans="11:16" s="1" customFormat="1" x14ac:dyDescent="0.25">
      <c r="K2893" s="28"/>
      <c r="L2893" s="28"/>
      <c r="N2893" s="22"/>
      <c r="O2893" s="22"/>
      <c r="P2893" s="22"/>
    </row>
    <row r="2894" spans="11:16" s="1" customFormat="1" x14ac:dyDescent="0.25">
      <c r="K2894" s="28"/>
      <c r="L2894" s="28"/>
      <c r="N2894" s="22"/>
      <c r="O2894" s="22"/>
      <c r="P2894" s="22"/>
    </row>
    <row r="2895" spans="11:16" s="1" customFormat="1" x14ac:dyDescent="0.25">
      <c r="K2895" s="28"/>
      <c r="L2895" s="28"/>
      <c r="N2895" s="22"/>
      <c r="O2895" s="22"/>
      <c r="P2895" s="22"/>
    </row>
    <row r="2896" spans="11:16" s="1" customFormat="1" x14ac:dyDescent="0.25">
      <c r="K2896" s="28"/>
      <c r="L2896" s="28"/>
      <c r="N2896" s="22"/>
      <c r="O2896" s="22"/>
      <c r="P2896" s="22"/>
    </row>
    <row r="2897" spans="11:16" s="1" customFormat="1" x14ac:dyDescent="0.25">
      <c r="K2897" s="28"/>
      <c r="L2897" s="28"/>
      <c r="N2897" s="22"/>
      <c r="O2897" s="22"/>
      <c r="P2897" s="22"/>
    </row>
    <row r="2898" spans="11:16" s="1" customFormat="1" x14ac:dyDescent="0.25">
      <c r="K2898" s="28"/>
      <c r="L2898" s="28"/>
      <c r="N2898" s="22"/>
      <c r="O2898" s="22"/>
      <c r="P2898" s="22"/>
    </row>
    <row r="2899" spans="11:16" s="1" customFormat="1" x14ac:dyDescent="0.25">
      <c r="K2899" s="28"/>
      <c r="L2899" s="28"/>
      <c r="N2899" s="22"/>
      <c r="O2899" s="22"/>
      <c r="P2899" s="22"/>
    </row>
    <row r="2900" spans="11:16" s="1" customFormat="1" x14ac:dyDescent="0.25">
      <c r="K2900" s="28"/>
      <c r="L2900" s="28"/>
      <c r="N2900" s="22"/>
      <c r="O2900" s="22"/>
      <c r="P2900" s="22"/>
    </row>
    <row r="2901" spans="11:16" s="1" customFormat="1" x14ac:dyDescent="0.25">
      <c r="K2901" s="28"/>
      <c r="L2901" s="28"/>
      <c r="N2901" s="22"/>
      <c r="O2901" s="22"/>
      <c r="P2901" s="22"/>
    </row>
    <row r="2902" spans="11:16" s="1" customFormat="1" x14ac:dyDescent="0.25">
      <c r="K2902" s="28"/>
      <c r="L2902" s="28"/>
      <c r="N2902" s="22"/>
      <c r="O2902" s="22"/>
      <c r="P2902" s="22"/>
    </row>
    <row r="2903" spans="11:16" s="1" customFormat="1" x14ac:dyDescent="0.25">
      <c r="K2903" s="28"/>
      <c r="L2903" s="28"/>
      <c r="N2903" s="22"/>
      <c r="O2903" s="22"/>
      <c r="P2903" s="22"/>
    </row>
    <row r="2904" spans="11:16" s="1" customFormat="1" x14ac:dyDescent="0.25">
      <c r="K2904" s="28"/>
      <c r="L2904" s="28"/>
      <c r="N2904" s="22"/>
      <c r="O2904" s="22"/>
      <c r="P2904" s="22"/>
    </row>
    <row r="2905" spans="11:16" s="1" customFormat="1" x14ac:dyDescent="0.25">
      <c r="K2905" s="28"/>
      <c r="L2905" s="28"/>
      <c r="N2905" s="22"/>
      <c r="O2905" s="22"/>
      <c r="P2905" s="22"/>
    </row>
    <row r="2906" spans="11:16" s="1" customFormat="1" x14ac:dyDescent="0.25">
      <c r="K2906" s="28"/>
      <c r="L2906" s="28"/>
      <c r="N2906" s="22"/>
      <c r="O2906" s="22"/>
      <c r="P2906" s="22"/>
    </row>
    <row r="2907" spans="11:16" s="1" customFormat="1" x14ac:dyDescent="0.25">
      <c r="K2907" s="28"/>
      <c r="L2907" s="28"/>
      <c r="N2907" s="22"/>
      <c r="O2907" s="22"/>
      <c r="P2907" s="22"/>
    </row>
    <row r="2908" spans="11:16" s="1" customFormat="1" x14ac:dyDescent="0.25">
      <c r="K2908" s="28"/>
      <c r="L2908" s="28"/>
      <c r="N2908" s="22"/>
      <c r="O2908" s="22"/>
      <c r="P2908" s="22"/>
    </row>
    <row r="2909" spans="11:16" s="1" customFormat="1" x14ac:dyDescent="0.25">
      <c r="K2909" s="28"/>
      <c r="L2909" s="28"/>
      <c r="N2909" s="22"/>
      <c r="O2909" s="22"/>
      <c r="P2909" s="22"/>
    </row>
    <row r="2910" spans="11:16" s="1" customFormat="1" x14ac:dyDescent="0.25">
      <c r="K2910" s="28"/>
      <c r="L2910" s="28"/>
      <c r="N2910" s="22"/>
      <c r="O2910" s="22"/>
      <c r="P2910" s="22"/>
    </row>
    <row r="2911" spans="11:16" s="1" customFormat="1" x14ac:dyDescent="0.25">
      <c r="K2911" s="28"/>
      <c r="L2911" s="28"/>
      <c r="N2911" s="22"/>
      <c r="O2911" s="22"/>
      <c r="P2911" s="22"/>
    </row>
    <row r="2912" spans="11:16" s="1" customFormat="1" x14ac:dyDescent="0.25">
      <c r="K2912" s="28"/>
      <c r="L2912" s="28"/>
      <c r="N2912" s="22"/>
      <c r="O2912" s="22"/>
      <c r="P2912" s="22"/>
    </row>
    <row r="2913" spans="11:16" s="1" customFormat="1" x14ac:dyDescent="0.25">
      <c r="K2913" s="28"/>
      <c r="L2913" s="28"/>
      <c r="N2913" s="22"/>
      <c r="O2913" s="22"/>
      <c r="P2913" s="22"/>
    </row>
    <row r="2914" spans="11:16" s="1" customFormat="1" x14ac:dyDescent="0.25">
      <c r="K2914" s="28"/>
      <c r="L2914" s="28"/>
      <c r="N2914" s="22"/>
      <c r="O2914" s="22"/>
      <c r="P2914" s="22"/>
    </row>
    <row r="2915" spans="11:16" s="1" customFormat="1" x14ac:dyDescent="0.25">
      <c r="K2915" s="28"/>
      <c r="L2915" s="28"/>
      <c r="N2915" s="22"/>
      <c r="O2915" s="22"/>
      <c r="P2915" s="22"/>
    </row>
    <row r="2916" spans="11:16" s="1" customFormat="1" x14ac:dyDescent="0.25">
      <c r="K2916" s="28"/>
      <c r="L2916" s="28"/>
      <c r="N2916" s="22"/>
      <c r="O2916" s="22"/>
      <c r="P2916" s="22"/>
    </row>
    <row r="2917" spans="11:16" s="1" customFormat="1" x14ac:dyDescent="0.25">
      <c r="K2917" s="28"/>
      <c r="L2917" s="28"/>
      <c r="N2917" s="22"/>
      <c r="O2917" s="22"/>
      <c r="P2917" s="22"/>
    </row>
    <row r="2918" spans="11:16" s="1" customFormat="1" x14ac:dyDescent="0.25">
      <c r="K2918" s="28"/>
      <c r="L2918" s="28"/>
      <c r="N2918" s="22"/>
      <c r="O2918" s="22"/>
      <c r="P2918" s="22"/>
    </row>
    <row r="2919" spans="11:16" s="1" customFormat="1" x14ac:dyDescent="0.25">
      <c r="K2919" s="28"/>
      <c r="L2919" s="28"/>
      <c r="N2919" s="22"/>
      <c r="O2919" s="22"/>
      <c r="P2919" s="22"/>
    </row>
    <row r="2920" spans="11:16" s="1" customFormat="1" x14ac:dyDescent="0.25">
      <c r="K2920" s="28"/>
      <c r="L2920" s="28"/>
      <c r="N2920" s="22"/>
      <c r="O2920" s="22"/>
      <c r="P2920" s="22"/>
    </row>
    <row r="2921" spans="11:16" s="1" customFormat="1" x14ac:dyDescent="0.25">
      <c r="K2921" s="28"/>
      <c r="L2921" s="28"/>
      <c r="N2921" s="22"/>
      <c r="O2921" s="22"/>
      <c r="P2921" s="22"/>
    </row>
    <row r="2922" spans="11:16" s="1" customFormat="1" x14ac:dyDescent="0.25">
      <c r="K2922" s="28"/>
      <c r="L2922" s="28"/>
      <c r="N2922" s="22"/>
      <c r="O2922" s="22"/>
      <c r="P2922" s="22"/>
    </row>
    <row r="2923" spans="11:16" s="1" customFormat="1" x14ac:dyDescent="0.25">
      <c r="K2923" s="28"/>
      <c r="L2923" s="28"/>
      <c r="N2923" s="22"/>
      <c r="O2923" s="22"/>
      <c r="P2923" s="22"/>
    </row>
    <row r="2924" spans="11:16" s="1" customFormat="1" x14ac:dyDescent="0.25">
      <c r="K2924" s="28"/>
      <c r="L2924" s="28"/>
      <c r="N2924" s="22"/>
      <c r="O2924" s="22"/>
      <c r="P2924" s="22"/>
    </row>
    <row r="2925" spans="11:16" s="1" customFormat="1" x14ac:dyDescent="0.25">
      <c r="K2925" s="28"/>
      <c r="L2925" s="28"/>
      <c r="N2925" s="22"/>
      <c r="O2925" s="22"/>
      <c r="P2925" s="22"/>
    </row>
    <row r="2926" spans="11:16" s="1" customFormat="1" x14ac:dyDescent="0.25">
      <c r="K2926" s="28"/>
      <c r="L2926" s="28"/>
      <c r="N2926" s="22"/>
      <c r="O2926" s="22"/>
      <c r="P2926" s="22"/>
    </row>
    <row r="2927" spans="11:16" s="1" customFormat="1" x14ac:dyDescent="0.25">
      <c r="K2927" s="28"/>
      <c r="L2927" s="28"/>
      <c r="N2927" s="22"/>
      <c r="O2927" s="22"/>
      <c r="P2927" s="22"/>
    </row>
    <row r="2928" spans="11:16" s="1" customFormat="1" x14ac:dyDescent="0.25">
      <c r="K2928" s="28"/>
      <c r="L2928" s="28"/>
      <c r="N2928" s="22"/>
      <c r="O2928" s="22"/>
      <c r="P2928" s="22"/>
    </row>
    <row r="2929" spans="11:16" s="1" customFormat="1" x14ac:dyDescent="0.25">
      <c r="K2929" s="28"/>
      <c r="L2929" s="28"/>
      <c r="N2929" s="22"/>
      <c r="O2929" s="22"/>
      <c r="P2929" s="22"/>
    </row>
    <row r="2930" spans="11:16" s="1" customFormat="1" x14ac:dyDescent="0.25">
      <c r="K2930" s="28"/>
      <c r="L2930" s="28"/>
      <c r="N2930" s="22"/>
      <c r="O2930" s="22"/>
      <c r="P2930" s="22"/>
    </row>
    <row r="2931" spans="11:16" s="1" customFormat="1" x14ac:dyDescent="0.25">
      <c r="K2931" s="28"/>
      <c r="L2931" s="28"/>
      <c r="N2931" s="22"/>
      <c r="O2931" s="22"/>
      <c r="P2931" s="22"/>
    </row>
    <row r="2932" spans="11:16" s="1" customFormat="1" x14ac:dyDescent="0.25">
      <c r="K2932" s="28"/>
      <c r="L2932" s="28"/>
      <c r="N2932" s="22"/>
      <c r="O2932" s="22"/>
      <c r="P2932" s="22"/>
    </row>
    <row r="2933" spans="11:16" s="1" customFormat="1" x14ac:dyDescent="0.25">
      <c r="K2933" s="28"/>
      <c r="L2933" s="28"/>
      <c r="N2933" s="22"/>
      <c r="O2933" s="22"/>
      <c r="P2933" s="22"/>
    </row>
    <row r="2934" spans="11:16" s="1" customFormat="1" x14ac:dyDescent="0.25">
      <c r="K2934" s="28"/>
      <c r="L2934" s="28"/>
      <c r="N2934" s="22"/>
      <c r="O2934" s="22"/>
      <c r="P2934" s="22"/>
    </row>
    <row r="2935" spans="11:16" s="1" customFormat="1" x14ac:dyDescent="0.25">
      <c r="K2935" s="28"/>
      <c r="L2935" s="28"/>
      <c r="N2935" s="22"/>
      <c r="O2935" s="22"/>
      <c r="P2935" s="22"/>
    </row>
    <row r="2936" spans="11:16" s="1" customFormat="1" x14ac:dyDescent="0.25">
      <c r="K2936" s="28"/>
      <c r="L2936" s="28"/>
      <c r="N2936" s="22"/>
      <c r="O2936" s="22"/>
      <c r="P2936" s="22"/>
    </row>
    <row r="2937" spans="11:16" s="1" customFormat="1" x14ac:dyDescent="0.25">
      <c r="K2937" s="28"/>
      <c r="L2937" s="28"/>
      <c r="N2937" s="22"/>
      <c r="O2937" s="22"/>
      <c r="P2937" s="22"/>
    </row>
    <row r="2938" spans="11:16" s="1" customFormat="1" x14ac:dyDescent="0.25">
      <c r="K2938" s="28"/>
      <c r="L2938" s="28"/>
      <c r="N2938" s="22"/>
      <c r="O2938" s="22"/>
      <c r="P2938" s="22"/>
    </row>
    <row r="2939" spans="11:16" s="1" customFormat="1" x14ac:dyDescent="0.25">
      <c r="K2939" s="28"/>
      <c r="L2939" s="28"/>
      <c r="N2939" s="22"/>
      <c r="O2939" s="22"/>
      <c r="P2939" s="22"/>
    </row>
    <row r="2940" spans="11:16" s="1" customFormat="1" x14ac:dyDescent="0.25">
      <c r="K2940" s="28"/>
      <c r="L2940" s="28"/>
      <c r="N2940" s="22"/>
      <c r="O2940" s="22"/>
      <c r="P2940" s="22"/>
    </row>
    <row r="2941" spans="11:16" s="1" customFormat="1" x14ac:dyDescent="0.25">
      <c r="K2941" s="28"/>
      <c r="L2941" s="28"/>
      <c r="N2941" s="22"/>
      <c r="O2941" s="22"/>
      <c r="P2941" s="22"/>
    </row>
    <row r="2942" spans="11:16" s="1" customFormat="1" x14ac:dyDescent="0.25">
      <c r="K2942" s="28"/>
      <c r="L2942" s="28"/>
      <c r="N2942" s="22"/>
      <c r="O2942" s="22"/>
      <c r="P2942" s="22"/>
    </row>
    <row r="2943" spans="11:16" s="1" customFormat="1" x14ac:dyDescent="0.25">
      <c r="K2943" s="28"/>
      <c r="L2943" s="28"/>
      <c r="N2943" s="22"/>
      <c r="O2943" s="22"/>
      <c r="P2943" s="22"/>
    </row>
    <row r="2944" spans="11:16" s="1" customFormat="1" x14ac:dyDescent="0.25">
      <c r="K2944" s="28"/>
      <c r="L2944" s="28"/>
      <c r="N2944" s="22"/>
      <c r="O2944" s="22"/>
      <c r="P2944" s="22"/>
    </row>
    <row r="2945" spans="11:16" s="1" customFormat="1" x14ac:dyDescent="0.25">
      <c r="K2945" s="28"/>
      <c r="L2945" s="28"/>
      <c r="N2945" s="22"/>
      <c r="O2945" s="22"/>
      <c r="P2945" s="22"/>
    </row>
    <row r="2946" spans="11:16" s="1" customFormat="1" x14ac:dyDescent="0.25">
      <c r="K2946" s="28"/>
      <c r="L2946" s="28"/>
      <c r="N2946" s="22"/>
      <c r="O2946" s="22"/>
      <c r="P2946" s="22"/>
    </row>
    <row r="2947" spans="11:16" s="1" customFormat="1" x14ac:dyDescent="0.25">
      <c r="K2947" s="28"/>
      <c r="L2947" s="28"/>
      <c r="N2947" s="22"/>
      <c r="O2947" s="22"/>
      <c r="P2947" s="22"/>
    </row>
    <row r="2948" spans="11:16" s="1" customFormat="1" x14ac:dyDescent="0.25">
      <c r="K2948" s="28"/>
      <c r="L2948" s="28"/>
      <c r="N2948" s="22"/>
      <c r="O2948" s="22"/>
      <c r="P2948" s="22"/>
    </row>
    <row r="2949" spans="11:16" s="1" customFormat="1" x14ac:dyDescent="0.25">
      <c r="K2949" s="28"/>
      <c r="L2949" s="28"/>
      <c r="N2949" s="22"/>
      <c r="O2949" s="22"/>
      <c r="P2949" s="22"/>
    </row>
    <row r="2950" spans="11:16" s="1" customFormat="1" x14ac:dyDescent="0.25">
      <c r="K2950" s="28"/>
      <c r="L2950" s="28"/>
      <c r="N2950" s="22"/>
      <c r="O2950" s="22"/>
      <c r="P2950" s="22"/>
    </row>
    <row r="2951" spans="11:16" s="1" customFormat="1" x14ac:dyDescent="0.25">
      <c r="K2951" s="28"/>
      <c r="L2951" s="28"/>
      <c r="N2951" s="22"/>
      <c r="O2951" s="22"/>
      <c r="P2951" s="22"/>
    </row>
    <row r="2952" spans="11:16" s="1" customFormat="1" x14ac:dyDescent="0.25">
      <c r="K2952" s="28"/>
      <c r="L2952" s="28"/>
      <c r="N2952" s="22"/>
      <c r="O2952" s="22"/>
      <c r="P2952" s="22"/>
    </row>
    <row r="2953" spans="11:16" s="1" customFormat="1" x14ac:dyDescent="0.25">
      <c r="K2953" s="28"/>
      <c r="L2953" s="28"/>
      <c r="N2953" s="22"/>
      <c r="O2953" s="22"/>
      <c r="P2953" s="22"/>
    </row>
    <row r="2954" spans="11:16" s="1" customFormat="1" x14ac:dyDescent="0.25">
      <c r="K2954" s="28"/>
      <c r="L2954" s="28"/>
      <c r="N2954" s="22"/>
      <c r="O2954" s="22"/>
      <c r="P2954" s="22"/>
    </row>
    <row r="2955" spans="11:16" s="1" customFormat="1" x14ac:dyDescent="0.25">
      <c r="K2955" s="28"/>
      <c r="L2955" s="28"/>
      <c r="N2955" s="22"/>
      <c r="O2955" s="22"/>
      <c r="P2955" s="22"/>
    </row>
    <row r="2956" spans="11:16" s="1" customFormat="1" x14ac:dyDescent="0.25">
      <c r="K2956" s="28"/>
      <c r="L2956" s="28"/>
      <c r="N2956" s="22"/>
      <c r="O2956" s="22"/>
      <c r="P2956" s="22"/>
    </row>
    <row r="2957" spans="11:16" s="1" customFormat="1" x14ac:dyDescent="0.25">
      <c r="K2957" s="28"/>
      <c r="L2957" s="28"/>
      <c r="N2957" s="22"/>
      <c r="O2957" s="22"/>
      <c r="P2957" s="22"/>
    </row>
    <row r="2958" spans="11:16" s="1" customFormat="1" x14ac:dyDescent="0.25">
      <c r="K2958" s="28"/>
      <c r="L2958" s="28"/>
      <c r="N2958" s="22"/>
      <c r="O2958" s="22"/>
      <c r="P2958" s="22"/>
    </row>
    <row r="2959" spans="11:16" s="1" customFormat="1" x14ac:dyDescent="0.25">
      <c r="K2959" s="28"/>
      <c r="L2959" s="28"/>
      <c r="N2959" s="22"/>
      <c r="O2959" s="22"/>
      <c r="P2959" s="22"/>
    </row>
    <row r="2960" spans="11:16" s="1" customFormat="1" x14ac:dyDescent="0.25">
      <c r="K2960" s="28"/>
      <c r="L2960" s="28"/>
      <c r="N2960" s="22"/>
      <c r="O2960" s="22"/>
      <c r="P2960" s="22"/>
    </row>
    <row r="2961" spans="11:16" s="1" customFormat="1" x14ac:dyDescent="0.25">
      <c r="K2961" s="28"/>
      <c r="L2961" s="28"/>
      <c r="N2961" s="22"/>
      <c r="O2961" s="22"/>
      <c r="P2961" s="22"/>
    </row>
    <row r="2962" spans="11:16" s="1" customFormat="1" x14ac:dyDescent="0.25">
      <c r="K2962" s="28"/>
      <c r="L2962" s="28"/>
      <c r="N2962" s="22"/>
      <c r="O2962" s="22"/>
      <c r="P2962" s="22"/>
    </row>
    <row r="2963" spans="11:16" s="1" customFormat="1" x14ac:dyDescent="0.25">
      <c r="K2963" s="28"/>
      <c r="L2963" s="28"/>
      <c r="N2963" s="22"/>
      <c r="O2963" s="22"/>
      <c r="P2963" s="22"/>
    </row>
    <row r="2964" spans="11:16" s="1" customFormat="1" x14ac:dyDescent="0.25">
      <c r="K2964" s="28"/>
      <c r="L2964" s="28"/>
      <c r="N2964" s="22"/>
      <c r="O2964" s="22"/>
      <c r="P2964" s="22"/>
    </row>
    <row r="2965" spans="11:16" s="1" customFormat="1" x14ac:dyDescent="0.25">
      <c r="K2965" s="28"/>
      <c r="L2965" s="28"/>
      <c r="N2965" s="22"/>
      <c r="O2965" s="22"/>
      <c r="P2965" s="22"/>
    </row>
    <row r="2966" spans="11:16" s="1" customFormat="1" x14ac:dyDescent="0.25">
      <c r="K2966" s="28"/>
      <c r="L2966" s="28"/>
      <c r="N2966" s="22"/>
      <c r="O2966" s="22"/>
      <c r="P2966" s="22"/>
    </row>
    <row r="2967" spans="11:16" s="1" customFormat="1" x14ac:dyDescent="0.25">
      <c r="K2967" s="28"/>
      <c r="L2967" s="28"/>
      <c r="N2967" s="22"/>
      <c r="O2967" s="22"/>
      <c r="P2967" s="22"/>
    </row>
    <row r="2968" spans="11:16" s="1" customFormat="1" x14ac:dyDescent="0.25">
      <c r="K2968" s="28"/>
      <c r="L2968" s="28"/>
      <c r="N2968" s="22"/>
      <c r="O2968" s="22"/>
      <c r="P2968" s="22"/>
    </row>
    <row r="2969" spans="11:16" s="1" customFormat="1" x14ac:dyDescent="0.25">
      <c r="K2969" s="28"/>
      <c r="L2969" s="28"/>
      <c r="N2969" s="22"/>
      <c r="O2969" s="22"/>
      <c r="P2969" s="22"/>
    </row>
    <row r="2970" spans="11:16" s="1" customFormat="1" x14ac:dyDescent="0.25">
      <c r="K2970" s="28"/>
      <c r="L2970" s="28"/>
      <c r="N2970" s="22"/>
      <c r="O2970" s="22"/>
      <c r="P2970" s="22"/>
    </row>
    <row r="2971" spans="11:16" s="1" customFormat="1" x14ac:dyDescent="0.25">
      <c r="K2971" s="28"/>
      <c r="L2971" s="28"/>
      <c r="N2971" s="22"/>
      <c r="O2971" s="22"/>
      <c r="P2971" s="22"/>
    </row>
    <row r="2972" spans="11:16" s="1" customFormat="1" x14ac:dyDescent="0.25">
      <c r="K2972" s="28"/>
      <c r="L2972" s="28"/>
      <c r="N2972" s="22"/>
      <c r="O2972" s="22"/>
      <c r="P2972" s="22"/>
    </row>
    <row r="2973" spans="11:16" s="1" customFormat="1" x14ac:dyDescent="0.25">
      <c r="K2973" s="28"/>
      <c r="L2973" s="28"/>
      <c r="N2973" s="22"/>
      <c r="O2973" s="22"/>
      <c r="P2973" s="22"/>
    </row>
    <row r="2974" spans="11:16" s="1" customFormat="1" x14ac:dyDescent="0.25">
      <c r="K2974" s="28"/>
      <c r="L2974" s="28"/>
      <c r="N2974" s="22"/>
      <c r="O2974" s="22"/>
      <c r="P2974" s="22"/>
    </row>
    <row r="2975" spans="11:16" s="1" customFormat="1" x14ac:dyDescent="0.25">
      <c r="K2975" s="28"/>
      <c r="L2975" s="28"/>
      <c r="N2975" s="22"/>
      <c r="O2975" s="22"/>
      <c r="P2975" s="22"/>
    </row>
    <row r="2976" spans="11:16" s="1" customFormat="1" x14ac:dyDescent="0.25">
      <c r="K2976" s="28"/>
      <c r="L2976" s="28"/>
      <c r="N2976" s="22"/>
      <c r="O2976" s="22"/>
      <c r="P2976" s="22"/>
    </row>
    <row r="2977" spans="11:16" s="1" customFormat="1" x14ac:dyDescent="0.25">
      <c r="K2977" s="28"/>
      <c r="L2977" s="28"/>
      <c r="N2977" s="22"/>
      <c r="O2977" s="22"/>
      <c r="P2977" s="22"/>
    </row>
    <row r="2978" spans="11:16" s="1" customFormat="1" x14ac:dyDescent="0.25">
      <c r="K2978" s="28"/>
      <c r="L2978" s="28"/>
      <c r="N2978" s="22"/>
      <c r="O2978" s="22"/>
      <c r="P2978" s="22"/>
    </row>
    <row r="2979" spans="11:16" s="1" customFormat="1" x14ac:dyDescent="0.25">
      <c r="K2979" s="28"/>
      <c r="L2979" s="28"/>
      <c r="N2979" s="22"/>
      <c r="O2979" s="22"/>
      <c r="P2979" s="22"/>
    </row>
    <row r="2980" spans="11:16" s="1" customFormat="1" x14ac:dyDescent="0.25">
      <c r="K2980" s="28"/>
      <c r="L2980" s="28"/>
      <c r="N2980" s="22"/>
      <c r="O2980" s="22"/>
      <c r="P2980" s="22"/>
    </row>
    <row r="2981" spans="11:16" s="1" customFormat="1" x14ac:dyDescent="0.25">
      <c r="K2981" s="28"/>
      <c r="L2981" s="28"/>
      <c r="N2981" s="22"/>
      <c r="O2981" s="22"/>
      <c r="P2981" s="22"/>
    </row>
    <row r="2982" spans="11:16" s="1" customFormat="1" x14ac:dyDescent="0.25">
      <c r="K2982" s="28"/>
      <c r="L2982" s="28"/>
      <c r="N2982" s="22"/>
      <c r="O2982" s="22"/>
      <c r="P2982" s="22"/>
    </row>
    <row r="2983" spans="11:16" s="1" customFormat="1" x14ac:dyDescent="0.25">
      <c r="K2983" s="28"/>
      <c r="L2983" s="28"/>
      <c r="N2983" s="22"/>
      <c r="O2983" s="22"/>
      <c r="P2983" s="22"/>
    </row>
    <row r="2984" spans="11:16" s="1" customFormat="1" x14ac:dyDescent="0.25">
      <c r="K2984" s="28"/>
      <c r="L2984" s="28"/>
      <c r="N2984" s="22"/>
      <c r="O2984" s="22"/>
      <c r="P2984" s="22"/>
    </row>
    <row r="2985" spans="11:16" s="1" customFormat="1" x14ac:dyDescent="0.25">
      <c r="K2985" s="28"/>
      <c r="L2985" s="28"/>
      <c r="N2985" s="22"/>
      <c r="O2985" s="22"/>
      <c r="P2985" s="22"/>
    </row>
    <row r="2986" spans="11:16" s="1" customFormat="1" x14ac:dyDescent="0.25">
      <c r="K2986" s="28"/>
      <c r="L2986" s="28"/>
      <c r="N2986" s="22"/>
      <c r="O2986" s="22"/>
      <c r="P2986" s="22"/>
    </row>
    <row r="2987" spans="11:16" s="1" customFormat="1" x14ac:dyDescent="0.25">
      <c r="K2987" s="28"/>
      <c r="L2987" s="28"/>
      <c r="N2987" s="22"/>
      <c r="O2987" s="22"/>
      <c r="P2987" s="22"/>
    </row>
    <row r="2988" spans="11:16" s="1" customFormat="1" x14ac:dyDescent="0.25">
      <c r="K2988" s="28"/>
      <c r="L2988" s="28"/>
      <c r="N2988" s="22"/>
      <c r="O2988" s="22"/>
      <c r="P2988" s="22"/>
    </row>
    <row r="2989" spans="11:16" s="1" customFormat="1" x14ac:dyDescent="0.25">
      <c r="K2989" s="28"/>
      <c r="L2989" s="28"/>
      <c r="N2989" s="22"/>
      <c r="O2989" s="22"/>
      <c r="P2989" s="22"/>
    </row>
    <row r="2990" spans="11:16" s="1" customFormat="1" x14ac:dyDescent="0.25">
      <c r="K2990" s="28"/>
      <c r="L2990" s="28"/>
      <c r="N2990" s="22"/>
      <c r="O2990" s="22"/>
      <c r="P2990" s="22"/>
    </row>
    <row r="2991" spans="11:16" s="1" customFormat="1" x14ac:dyDescent="0.25">
      <c r="K2991" s="28"/>
      <c r="L2991" s="28"/>
      <c r="N2991" s="22"/>
      <c r="O2991" s="22"/>
      <c r="P2991" s="22"/>
    </row>
    <row r="2992" spans="11:16" s="1" customFormat="1" x14ac:dyDescent="0.25">
      <c r="K2992" s="28"/>
      <c r="L2992" s="28"/>
      <c r="N2992" s="22"/>
      <c r="O2992" s="22"/>
      <c r="P2992" s="22"/>
    </row>
    <row r="2993" spans="11:16" s="1" customFormat="1" x14ac:dyDescent="0.25">
      <c r="K2993" s="28"/>
      <c r="L2993" s="28"/>
      <c r="N2993" s="22"/>
      <c r="O2993" s="22"/>
      <c r="P2993" s="22"/>
    </row>
    <row r="2994" spans="11:16" s="1" customFormat="1" x14ac:dyDescent="0.25">
      <c r="K2994" s="28"/>
      <c r="L2994" s="28"/>
      <c r="N2994" s="22"/>
      <c r="O2994" s="22"/>
      <c r="P2994" s="22"/>
    </row>
    <row r="2995" spans="11:16" s="1" customFormat="1" x14ac:dyDescent="0.25">
      <c r="K2995" s="28"/>
      <c r="L2995" s="28"/>
      <c r="N2995" s="22"/>
      <c r="O2995" s="22"/>
      <c r="P2995" s="22"/>
    </row>
    <row r="2996" spans="11:16" s="1" customFormat="1" x14ac:dyDescent="0.25">
      <c r="K2996" s="28"/>
      <c r="L2996" s="28"/>
      <c r="N2996" s="22"/>
      <c r="O2996" s="22"/>
      <c r="P2996" s="22"/>
    </row>
    <row r="2997" spans="11:16" s="1" customFormat="1" x14ac:dyDescent="0.25">
      <c r="K2997" s="28"/>
      <c r="L2997" s="28"/>
      <c r="N2997" s="22"/>
      <c r="O2997" s="22"/>
      <c r="P2997" s="22"/>
    </row>
    <row r="2998" spans="11:16" s="1" customFormat="1" x14ac:dyDescent="0.25">
      <c r="K2998" s="28"/>
      <c r="L2998" s="28"/>
      <c r="N2998" s="22"/>
      <c r="O2998" s="22"/>
      <c r="P2998" s="22"/>
    </row>
    <row r="2999" spans="11:16" s="1" customFormat="1" x14ac:dyDescent="0.25">
      <c r="K2999" s="28"/>
      <c r="L2999" s="28"/>
      <c r="N2999" s="22"/>
      <c r="O2999" s="22"/>
      <c r="P2999" s="22"/>
    </row>
    <row r="3000" spans="11:16" s="1" customFormat="1" x14ac:dyDescent="0.25">
      <c r="K3000" s="28"/>
      <c r="L3000" s="28"/>
      <c r="N3000" s="22"/>
      <c r="O3000" s="22"/>
      <c r="P3000" s="22"/>
    </row>
    <row r="3001" spans="11:16" s="1" customFormat="1" x14ac:dyDescent="0.25">
      <c r="K3001" s="28"/>
      <c r="L3001" s="28"/>
      <c r="N3001" s="22"/>
      <c r="O3001" s="22"/>
      <c r="P3001" s="22"/>
    </row>
    <row r="3002" spans="11:16" s="1" customFormat="1" x14ac:dyDescent="0.25">
      <c r="K3002" s="28"/>
      <c r="L3002" s="28"/>
      <c r="N3002" s="22"/>
      <c r="O3002" s="22"/>
      <c r="P3002" s="22"/>
    </row>
    <row r="3003" spans="11:16" s="1" customFormat="1" x14ac:dyDescent="0.25">
      <c r="K3003" s="28"/>
      <c r="L3003" s="28"/>
      <c r="N3003" s="22"/>
      <c r="O3003" s="22"/>
      <c r="P3003" s="22"/>
    </row>
    <row r="3004" spans="11:16" s="1" customFormat="1" x14ac:dyDescent="0.25">
      <c r="K3004" s="28"/>
      <c r="L3004" s="28"/>
      <c r="N3004" s="22"/>
      <c r="O3004" s="22"/>
      <c r="P3004" s="22"/>
    </row>
    <row r="3005" spans="11:16" s="1" customFormat="1" x14ac:dyDescent="0.25">
      <c r="K3005" s="28"/>
      <c r="L3005" s="28"/>
      <c r="N3005" s="22"/>
      <c r="O3005" s="22"/>
      <c r="P3005" s="22"/>
    </row>
    <row r="3006" spans="11:16" s="1" customFormat="1" x14ac:dyDescent="0.25">
      <c r="K3006" s="28"/>
      <c r="L3006" s="28"/>
      <c r="N3006" s="22"/>
      <c r="O3006" s="22"/>
      <c r="P3006" s="22"/>
    </row>
    <row r="3007" spans="11:16" s="1" customFormat="1" x14ac:dyDescent="0.25">
      <c r="K3007" s="28"/>
      <c r="L3007" s="28"/>
      <c r="N3007" s="22"/>
      <c r="O3007" s="22"/>
      <c r="P3007" s="22"/>
    </row>
    <row r="3008" spans="11:16" s="1" customFormat="1" x14ac:dyDescent="0.25">
      <c r="K3008" s="28"/>
      <c r="L3008" s="28"/>
      <c r="N3008" s="22"/>
      <c r="O3008" s="22"/>
      <c r="P3008" s="22"/>
    </row>
    <row r="3009" spans="11:16" s="1" customFormat="1" x14ac:dyDescent="0.25">
      <c r="K3009" s="28"/>
      <c r="L3009" s="28"/>
      <c r="N3009" s="22"/>
      <c r="O3009" s="22"/>
      <c r="P3009" s="22"/>
    </row>
    <row r="3010" spans="11:16" s="1" customFormat="1" x14ac:dyDescent="0.25">
      <c r="K3010" s="28"/>
      <c r="L3010" s="28"/>
      <c r="N3010" s="22"/>
      <c r="O3010" s="22"/>
      <c r="P3010" s="22"/>
    </row>
    <row r="3011" spans="11:16" s="1" customFormat="1" x14ac:dyDescent="0.25">
      <c r="K3011" s="28"/>
      <c r="L3011" s="28"/>
      <c r="N3011" s="22"/>
      <c r="O3011" s="22"/>
      <c r="P3011" s="22"/>
    </row>
    <row r="3012" spans="11:16" s="1" customFormat="1" x14ac:dyDescent="0.25">
      <c r="K3012" s="28"/>
      <c r="L3012" s="28"/>
      <c r="N3012" s="22"/>
      <c r="O3012" s="22"/>
      <c r="P3012" s="22"/>
    </row>
    <row r="3013" spans="11:16" s="1" customFormat="1" x14ac:dyDescent="0.25">
      <c r="K3013" s="28"/>
      <c r="L3013" s="28"/>
      <c r="N3013" s="22"/>
      <c r="O3013" s="22"/>
      <c r="P3013" s="22"/>
    </row>
    <row r="3014" spans="11:16" s="1" customFormat="1" x14ac:dyDescent="0.25">
      <c r="K3014" s="28"/>
      <c r="L3014" s="28"/>
      <c r="N3014" s="22"/>
      <c r="O3014" s="22"/>
      <c r="P3014" s="22"/>
    </row>
    <row r="3015" spans="11:16" s="1" customFormat="1" x14ac:dyDescent="0.25">
      <c r="K3015" s="28"/>
      <c r="L3015" s="28"/>
      <c r="N3015" s="22"/>
      <c r="O3015" s="22"/>
      <c r="P3015" s="22"/>
    </row>
    <row r="3016" spans="11:16" s="1" customFormat="1" x14ac:dyDescent="0.25">
      <c r="K3016" s="28"/>
      <c r="L3016" s="28"/>
      <c r="N3016" s="22"/>
      <c r="O3016" s="22"/>
      <c r="P3016" s="22"/>
    </row>
    <row r="3017" spans="11:16" s="1" customFormat="1" x14ac:dyDescent="0.25">
      <c r="K3017" s="28"/>
      <c r="L3017" s="28"/>
      <c r="N3017" s="22"/>
      <c r="O3017" s="22"/>
      <c r="P3017" s="22"/>
    </row>
    <row r="3018" spans="11:16" s="1" customFormat="1" x14ac:dyDescent="0.25">
      <c r="K3018" s="28"/>
      <c r="L3018" s="28"/>
      <c r="N3018" s="22"/>
      <c r="O3018" s="22"/>
      <c r="P3018" s="22"/>
    </row>
    <row r="3019" spans="11:16" s="1" customFormat="1" x14ac:dyDescent="0.25">
      <c r="K3019" s="28"/>
      <c r="L3019" s="28"/>
      <c r="N3019" s="22"/>
      <c r="O3019" s="22"/>
      <c r="P3019" s="22"/>
    </row>
    <row r="3020" spans="11:16" s="1" customFormat="1" x14ac:dyDescent="0.25">
      <c r="K3020" s="28"/>
      <c r="L3020" s="28"/>
      <c r="N3020" s="22"/>
      <c r="O3020" s="22"/>
      <c r="P3020" s="22"/>
    </row>
    <row r="3021" spans="11:16" s="1" customFormat="1" x14ac:dyDescent="0.25">
      <c r="K3021" s="28"/>
      <c r="L3021" s="28"/>
      <c r="N3021" s="22"/>
      <c r="O3021" s="22"/>
      <c r="P3021" s="22"/>
    </row>
    <row r="3022" spans="11:16" s="1" customFormat="1" x14ac:dyDescent="0.25">
      <c r="K3022" s="28"/>
      <c r="L3022" s="28"/>
      <c r="N3022" s="22"/>
      <c r="O3022" s="22"/>
      <c r="P3022" s="22"/>
    </row>
    <row r="3023" spans="11:16" s="1" customFormat="1" x14ac:dyDescent="0.25">
      <c r="K3023" s="28"/>
      <c r="L3023" s="28"/>
      <c r="N3023" s="22"/>
      <c r="O3023" s="22"/>
      <c r="P3023" s="22"/>
    </row>
    <row r="3024" spans="11:16" s="1" customFormat="1" x14ac:dyDescent="0.25">
      <c r="K3024" s="28"/>
      <c r="L3024" s="28"/>
      <c r="N3024" s="22"/>
      <c r="O3024" s="22"/>
      <c r="P3024" s="22"/>
    </row>
    <row r="3025" spans="11:16" s="1" customFormat="1" x14ac:dyDescent="0.25">
      <c r="K3025" s="28"/>
      <c r="L3025" s="28"/>
      <c r="N3025" s="22"/>
      <c r="O3025" s="22"/>
      <c r="P3025" s="22"/>
    </row>
    <row r="3026" spans="11:16" s="1" customFormat="1" x14ac:dyDescent="0.25">
      <c r="K3026" s="28"/>
      <c r="L3026" s="28"/>
      <c r="N3026" s="22"/>
      <c r="O3026" s="22"/>
      <c r="P3026" s="22"/>
    </row>
    <row r="3027" spans="11:16" s="1" customFormat="1" x14ac:dyDescent="0.25">
      <c r="K3027" s="28"/>
      <c r="L3027" s="28"/>
      <c r="N3027" s="22"/>
      <c r="O3027" s="22"/>
      <c r="P3027" s="22"/>
    </row>
    <row r="3028" spans="11:16" s="1" customFormat="1" x14ac:dyDescent="0.25">
      <c r="K3028" s="28"/>
      <c r="L3028" s="28"/>
      <c r="N3028" s="22"/>
      <c r="O3028" s="22"/>
      <c r="P3028" s="22"/>
    </row>
    <row r="3029" spans="11:16" s="1" customFormat="1" x14ac:dyDescent="0.25">
      <c r="K3029" s="28"/>
      <c r="L3029" s="28"/>
      <c r="N3029" s="22"/>
      <c r="O3029" s="22"/>
      <c r="P3029" s="22"/>
    </row>
    <row r="3030" spans="11:16" s="1" customFormat="1" x14ac:dyDescent="0.25">
      <c r="K3030" s="28"/>
      <c r="L3030" s="28"/>
      <c r="N3030" s="22"/>
      <c r="O3030" s="22"/>
      <c r="P3030" s="22"/>
    </row>
    <row r="3031" spans="11:16" s="1" customFormat="1" x14ac:dyDescent="0.25">
      <c r="K3031" s="28"/>
      <c r="L3031" s="28"/>
      <c r="N3031" s="22"/>
      <c r="O3031" s="22"/>
      <c r="P3031" s="22"/>
    </row>
    <row r="3032" spans="11:16" s="1" customFormat="1" x14ac:dyDescent="0.25">
      <c r="K3032" s="28"/>
      <c r="L3032" s="28"/>
      <c r="N3032" s="22"/>
      <c r="O3032" s="22"/>
      <c r="P3032" s="22"/>
    </row>
    <row r="3033" spans="11:16" s="1" customFormat="1" x14ac:dyDescent="0.25">
      <c r="K3033" s="28"/>
      <c r="L3033" s="28"/>
      <c r="N3033" s="22"/>
      <c r="O3033" s="22"/>
      <c r="P3033" s="22"/>
    </row>
    <row r="3034" spans="11:16" s="1" customFormat="1" x14ac:dyDescent="0.25">
      <c r="K3034" s="28"/>
      <c r="L3034" s="28"/>
      <c r="N3034" s="22"/>
      <c r="O3034" s="22"/>
      <c r="P3034" s="22"/>
    </row>
    <row r="3035" spans="11:16" s="1" customFormat="1" x14ac:dyDescent="0.25">
      <c r="K3035" s="28"/>
      <c r="L3035" s="28"/>
      <c r="N3035" s="22"/>
      <c r="O3035" s="22"/>
      <c r="P3035" s="22"/>
    </row>
    <row r="3036" spans="11:16" s="1" customFormat="1" x14ac:dyDescent="0.25">
      <c r="K3036" s="28"/>
      <c r="L3036" s="28"/>
      <c r="N3036" s="22"/>
      <c r="O3036" s="22"/>
      <c r="P3036" s="22"/>
    </row>
    <row r="3037" spans="11:16" s="1" customFormat="1" x14ac:dyDescent="0.25">
      <c r="K3037" s="28"/>
      <c r="L3037" s="28"/>
      <c r="N3037" s="22"/>
      <c r="O3037" s="22"/>
      <c r="P3037" s="22"/>
    </row>
    <row r="3038" spans="11:16" s="1" customFormat="1" x14ac:dyDescent="0.25">
      <c r="K3038" s="28"/>
      <c r="L3038" s="28"/>
      <c r="N3038" s="22"/>
      <c r="O3038" s="22"/>
      <c r="P3038" s="22"/>
    </row>
    <row r="3039" spans="11:16" s="1" customFormat="1" x14ac:dyDescent="0.25">
      <c r="K3039" s="28"/>
      <c r="L3039" s="28"/>
      <c r="N3039" s="22"/>
      <c r="O3039" s="22"/>
      <c r="P3039" s="22"/>
    </row>
    <row r="3040" spans="11:16" s="1" customFormat="1" x14ac:dyDescent="0.25">
      <c r="K3040" s="28"/>
      <c r="L3040" s="28"/>
      <c r="N3040" s="22"/>
      <c r="O3040" s="22"/>
      <c r="P3040" s="22"/>
    </row>
    <row r="3041" spans="11:16" s="1" customFormat="1" x14ac:dyDescent="0.25">
      <c r="K3041" s="28"/>
      <c r="L3041" s="28"/>
      <c r="N3041" s="22"/>
      <c r="O3041" s="22"/>
      <c r="P3041" s="22"/>
    </row>
    <row r="3042" spans="11:16" s="1" customFormat="1" x14ac:dyDescent="0.25">
      <c r="K3042" s="28"/>
      <c r="L3042" s="28"/>
      <c r="N3042" s="22"/>
      <c r="O3042" s="22"/>
      <c r="P3042" s="22"/>
    </row>
    <row r="3043" spans="11:16" s="1" customFormat="1" x14ac:dyDescent="0.25">
      <c r="K3043" s="28"/>
      <c r="L3043" s="28"/>
      <c r="N3043" s="22"/>
      <c r="O3043" s="22"/>
      <c r="P3043" s="22"/>
    </row>
    <row r="3044" spans="11:16" s="1" customFormat="1" x14ac:dyDescent="0.25">
      <c r="K3044" s="28"/>
      <c r="L3044" s="28"/>
      <c r="N3044" s="22"/>
      <c r="O3044" s="22"/>
      <c r="P3044" s="22"/>
    </row>
    <row r="3045" spans="11:16" s="1" customFormat="1" x14ac:dyDescent="0.25">
      <c r="K3045" s="28"/>
      <c r="L3045" s="28"/>
      <c r="N3045" s="22"/>
      <c r="O3045" s="22"/>
      <c r="P3045" s="22"/>
    </row>
    <row r="3046" spans="11:16" s="1" customFormat="1" x14ac:dyDescent="0.25">
      <c r="K3046" s="28"/>
      <c r="L3046" s="28"/>
      <c r="N3046" s="22"/>
      <c r="O3046" s="22"/>
      <c r="P3046" s="22"/>
    </row>
    <row r="3047" spans="11:16" s="1" customFormat="1" x14ac:dyDescent="0.25">
      <c r="K3047" s="28"/>
      <c r="L3047" s="28"/>
      <c r="N3047" s="22"/>
      <c r="O3047" s="22"/>
      <c r="P3047" s="22"/>
    </row>
    <row r="3048" spans="11:16" s="1" customFormat="1" x14ac:dyDescent="0.25">
      <c r="K3048" s="28"/>
      <c r="L3048" s="28"/>
      <c r="N3048" s="22"/>
      <c r="O3048" s="22"/>
      <c r="P3048" s="22"/>
    </row>
    <row r="3049" spans="11:16" s="1" customFormat="1" x14ac:dyDescent="0.25">
      <c r="K3049" s="28"/>
      <c r="L3049" s="28"/>
      <c r="N3049" s="22"/>
      <c r="O3049" s="22"/>
      <c r="P3049" s="22"/>
    </row>
    <row r="3050" spans="11:16" s="1" customFormat="1" x14ac:dyDescent="0.25">
      <c r="K3050" s="28"/>
      <c r="L3050" s="28"/>
      <c r="N3050" s="22"/>
      <c r="O3050" s="22"/>
      <c r="P3050" s="22"/>
    </row>
    <row r="3051" spans="11:16" s="1" customFormat="1" x14ac:dyDescent="0.25">
      <c r="K3051" s="28"/>
      <c r="L3051" s="28"/>
      <c r="N3051" s="22"/>
      <c r="O3051" s="22"/>
      <c r="P3051" s="22"/>
    </row>
    <row r="3052" spans="11:16" s="1" customFormat="1" x14ac:dyDescent="0.25">
      <c r="K3052" s="28"/>
      <c r="L3052" s="28"/>
      <c r="N3052" s="22"/>
      <c r="O3052" s="22"/>
      <c r="P3052" s="22"/>
    </row>
    <row r="3053" spans="11:16" s="1" customFormat="1" x14ac:dyDescent="0.25">
      <c r="K3053" s="28"/>
      <c r="L3053" s="28"/>
      <c r="N3053" s="22"/>
      <c r="O3053" s="22"/>
      <c r="P3053" s="22"/>
    </row>
    <row r="3054" spans="11:16" s="1" customFormat="1" x14ac:dyDescent="0.25">
      <c r="K3054" s="28"/>
      <c r="L3054" s="28"/>
      <c r="N3054" s="22"/>
      <c r="O3054" s="22"/>
      <c r="P3054" s="22"/>
    </row>
    <row r="3055" spans="11:16" s="1" customFormat="1" x14ac:dyDescent="0.25">
      <c r="K3055" s="28"/>
      <c r="L3055" s="28"/>
      <c r="N3055" s="22"/>
      <c r="O3055" s="22"/>
      <c r="P3055" s="22"/>
    </row>
    <row r="3056" spans="11:16" s="1" customFormat="1" x14ac:dyDescent="0.25">
      <c r="K3056" s="28"/>
      <c r="L3056" s="28"/>
      <c r="N3056" s="22"/>
      <c r="O3056" s="22"/>
      <c r="P3056" s="22"/>
    </row>
    <row r="3057" spans="11:16" s="1" customFormat="1" x14ac:dyDescent="0.25">
      <c r="K3057" s="28"/>
      <c r="L3057" s="28"/>
      <c r="N3057" s="22"/>
      <c r="O3057" s="22"/>
      <c r="P3057" s="22"/>
    </row>
    <row r="3058" spans="11:16" s="1" customFormat="1" x14ac:dyDescent="0.25">
      <c r="K3058" s="28"/>
      <c r="L3058" s="28"/>
      <c r="N3058" s="22"/>
      <c r="O3058" s="22"/>
      <c r="P3058" s="22"/>
    </row>
    <row r="3059" spans="11:16" s="1" customFormat="1" x14ac:dyDescent="0.25">
      <c r="K3059" s="28"/>
      <c r="L3059" s="28"/>
      <c r="N3059" s="22"/>
      <c r="O3059" s="22"/>
      <c r="P3059" s="22"/>
    </row>
    <row r="3060" spans="11:16" s="1" customFormat="1" x14ac:dyDescent="0.25">
      <c r="K3060" s="28"/>
      <c r="L3060" s="28"/>
      <c r="N3060" s="22"/>
      <c r="O3060" s="22"/>
      <c r="P3060" s="22"/>
    </row>
    <row r="3061" spans="11:16" s="1" customFormat="1" x14ac:dyDescent="0.25">
      <c r="K3061" s="28"/>
      <c r="L3061" s="28"/>
      <c r="N3061" s="22"/>
      <c r="O3061" s="22"/>
      <c r="P3061" s="22"/>
    </row>
    <row r="3062" spans="11:16" s="1" customFormat="1" x14ac:dyDescent="0.25">
      <c r="K3062" s="28"/>
      <c r="L3062" s="28"/>
      <c r="N3062" s="22"/>
      <c r="O3062" s="22"/>
      <c r="P3062" s="22"/>
    </row>
    <row r="3063" spans="11:16" s="1" customFormat="1" x14ac:dyDescent="0.25">
      <c r="K3063" s="28"/>
      <c r="L3063" s="28"/>
      <c r="N3063" s="22"/>
      <c r="O3063" s="22"/>
      <c r="P3063" s="22"/>
    </row>
    <row r="3064" spans="11:16" s="1" customFormat="1" x14ac:dyDescent="0.25">
      <c r="K3064" s="28"/>
      <c r="L3064" s="28"/>
      <c r="N3064" s="22"/>
      <c r="O3064" s="22"/>
      <c r="P3064" s="22"/>
    </row>
    <row r="3065" spans="11:16" s="1" customFormat="1" x14ac:dyDescent="0.25">
      <c r="K3065" s="28"/>
      <c r="L3065" s="28"/>
      <c r="N3065" s="22"/>
      <c r="O3065" s="22"/>
      <c r="P3065" s="22"/>
    </row>
    <row r="3066" spans="11:16" s="1" customFormat="1" x14ac:dyDescent="0.25">
      <c r="K3066" s="28"/>
      <c r="L3066" s="28"/>
      <c r="N3066" s="22"/>
      <c r="O3066" s="22"/>
      <c r="P3066" s="22"/>
    </row>
    <row r="3067" spans="11:16" s="1" customFormat="1" x14ac:dyDescent="0.25">
      <c r="K3067" s="28"/>
      <c r="L3067" s="28"/>
      <c r="N3067" s="22"/>
      <c r="O3067" s="22"/>
      <c r="P3067" s="22"/>
    </row>
    <row r="3068" spans="11:16" s="1" customFormat="1" x14ac:dyDescent="0.25">
      <c r="K3068" s="28"/>
      <c r="L3068" s="28"/>
      <c r="N3068" s="22"/>
      <c r="O3068" s="22"/>
      <c r="P3068" s="22"/>
    </row>
    <row r="3069" spans="11:16" s="1" customFormat="1" x14ac:dyDescent="0.25">
      <c r="K3069" s="28"/>
      <c r="L3069" s="28"/>
      <c r="N3069" s="22"/>
      <c r="O3069" s="22"/>
      <c r="P3069" s="22"/>
    </row>
    <row r="3070" spans="11:16" s="1" customFormat="1" x14ac:dyDescent="0.25">
      <c r="K3070" s="28"/>
      <c r="L3070" s="28"/>
      <c r="N3070" s="22"/>
      <c r="O3070" s="22"/>
      <c r="P3070" s="22"/>
    </row>
    <row r="3071" spans="11:16" s="1" customFormat="1" x14ac:dyDescent="0.25">
      <c r="K3071" s="28"/>
      <c r="L3071" s="28"/>
      <c r="N3071" s="22"/>
      <c r="O3071" s="22"/>
      <c r="P3071" s="22"/>
    </row>
    <row r="3072" spans="11:16" s="1" customFormat="1" x14ac:dyDescent="0.25">
      <c r="K3072" s="28"/>
      <c r="L3072" s="28"/>
      <c r="N3072" s="22"/>
      <c r="O3072" s="22"/>
      <c r="P3072" s="22"/>
    </row>
    <row r="3073" spans="11:16" s="1" customFormat="1" x14ac:dyDescent="0.25">
      <c r="K3073" s="28"/>
      <c r="L3073" s="28"/>
      <c r="N3073" s="22"/>
      <c r="O3073" s="22"/>
      <c r="P3073" s="22"/>
    </row>
    <row r="3074" spans="11:16" s="1" customFormat="1" x14ac:dyDescent="0.25">
      <c r="K3074" s="28"/>
      <c r="L3074" s="28"/>
      <c r="N3074" s="22"/>
      <c r="O3074" s="22"/>
      <c r="P3074" s="22"/>
    </row>
    <row r="3075" spans="11:16" s="1" customFormat="1" x14ac:dyDescent="0.25">
      <c r="K3075" s="28"/>
      <c r="L3075" s="28"/>
      <c r="N3075" s="22"/>
      <c r="O3075" s="22"/>
      <c r="P3075" s="22"/>
    </row>
    <row r="3076" spans="11:16" s="1" customFormat="1" x14ac:dyDescent="0.25">
      <c r="K3076" s="28"/>
      <c r="L3076" s="28"/>
      <c r="N3076" s="22"/>
      <c r="O3076" s="22"/>
      <c r="P3076" s="22"/>
    </row>
    <row r="3077" spans="11:16" s="1" customFormat="1" x14ac:dyDescent="0.25">
      <c r="K3077" s="28"/>
      <c r="L3077" s="28"/>
      <c r="N3077" s="22"/>
      <c r="O3077" s="22"/>
      <c r="P3077" s="22"/>
    </row>
    <row r="3078" spans="11:16" s="1" customFormat="1" x14ac:dyDescent="0.25">
      <c r="K3078" s="28"/>
      <c r="L3078" s="28"/>
      <c r="N3078" s="22"/>
      <c r="O3078" s="22"/>
      <c r="P3078" s="22"/>
    </row>
    <row r="3079" spans="11:16" s="1" customFormat="1" x14ac:dyDescent="0.25">
      <c r="K3079" s="28"/>
      <c r="L3079" s="28"/>
      <c r="N3079" s="22"/>
      <c r="O3079" s="22"/>
      <c r="P3079" s="22"/>
    </row>
    <row r="3080" spans="11:16" s="1" customFormat="1" x14ac:dyDescent="0.25">
      <c r="K3080" s="28"/>
      <c r="L3080" s="28"/>
      <c r="N3080" s="22"/>
      <c r="O3080" s="22"/>
      <c r="P3080" s="22"/>
    </row>
    <row r="3081" spans="11:16" s="1" customFormat="1" x14ac:dyDescent="0.25">
      <c r="K3081" s="28"/>
      <c r="L3081" s="28"/>
      <c r="N3081" s="22"/>
      <c r="O3081" s="22"/>
      <c r="P3081" s="22"/>
    </row>
    <row r="3082" spans="11:16" s="1" customFormat="1" x14ac:dyDescent="0.25">
      <c r="K3082" s="28"/>
      <c r="L3082" s="28"/>
      <c r="N3082" s="22"/>
      <c r="O3082" s="22"/>
      <c r="P3082" s="22"/>
    </row>
    <row r="3083" spans="11:16" s="1" customFormat="1" x14ac:dyDescent="0.25">
      <c r="K3083" s="28"/>
      <c r="L3083" s="28"/>
      <c r="N3083" s="22"/>
      <c r="O3083" s="22"/>
      <c r="P3083" s="22"/>
    </row>
    <row r="3084" spans="11:16" s="1" customFormat="1" x14ac:dyDescent="0.25">
      <c r="K3084" s="28"/>
      <c r="L3084" s="28"/>
      <c r="N3084" s="22"/>
      <c r="O3084" s="22"/>
      <c r="P3084" s="22"/>
    </row>
    <row r="3085" spans="11:16" s="1" customFormat="1" x14ac:dyDescent="0.25">
      <c r="K3085" s="28"/>
      <c r="L3085" s="28"/>
      <c r="N3085" s="22"/>
      <c r="O3085" s="22"/>
      <c r="P3085" s="22"/>
    </row>
    <row r="3086" spans="11:16" s="1" customFormat="1" x14ac:dyDescent="0.25">
      <c r="K3086" s="28"/>
      <c r="L3086" s="28"/>
      <c r="N3086" s="22"/>
      <c r="O3086" s="22"/>
      <c r="P3086" s="22"/>
    </row>
    <row r="3087" spans="11:16" s="1" customFormat="1" x14ac:dyDescent="0.25">
      <c r="K3087" s="28"/>
      <c r="L3087" s="28"/>
      <c r="N3087" s="22"/>
      <c r="O3087" s="22"/>
      <c r="P3087" s="22"/>
    </row>
    <row r="3088" spans="11:16" s="1" customFormat="1" x14ac:dyDescent="0.25">
      <c r="K3088" s="28"/>
      <c r="L3088" s="28"/>
      <c r="N3088" s="22"/>
      <c r="O3088" s="22"/>
      <c r="P3088" s="22"/>
    </row>
    <row r="3089" spans="11:16" s="1" customFormat="1" x14ac:dyDescent="0.25">
      <c r="K3089" s="28"/>
      <c r="L3089" s="28"/>
      <c r="N3089" s="22"/>
      <c r="O3089" s="22"/>
      <c r="P3089" s="22"/>
    </row>
    <row r="3090" spans="11:16" s="1" customFormat="1" x14ac:dyDescent="0.25">
      <c r="K3090" s="28"/>
      <c r="L3090" s="28"/>
      <c r="N3090" s="22"/>
      <c r="O3090" s="22"/>
      <c r="P3090" s="22"/>
    </row>
    <row r="3091" spans="11:16" s="1" customFormat="1" x14ac:dyDescent="0.25">
      <c r="K3091" s="28"/>
      <c r="L3091" s="28"/>
      <c r="N3091" s="22"/>
      <c r="O3091" s="22"/>
      <c r="P3091" s="22"/>
    </row>
    <row r="3092" spans="11:16" s="1" customFormat="1" x14ac:dyDescent="0.25">
      <c r="K3092" s="28"/>
      <c r="L3092" s="28"/>
      <c r="N3092" s="22"/>
      <c r="O3092" s="22"/>
      <c r="P3092" s="22"/>
    </row>
    <row r="3093" spans="11:16" s="1" customFormat="1" x14ac:dyDescent="0.25">
      <c r="K3093" s="28"/>
      <c r="L3093" s="28"/>
      <c r="N3093" s="22"/>
      <c r="O3093" s="22"/>
      <c r="P3093" s="22"/>
    </row>
    <row r="3094" spans="11:16" s="1" customFormat="1" x14ac:dyDescent="0.25">
      <c r="K3094" s="28"/>
      <c r="L3094" s="28"/>
      <c r="N3094" s="22"/>
      <c r="O3094" s="22"/>
      <c r="P3094" s="22"/>
    </row>
    <row r="3095" spans="11:16" s="1" customFormat="1" x14ac:dyDescent="0.25">
      <c r="K3095" s="28"/>
      <c r="L3095" s="28"/>
      <c r="N3095" s="22"/>
      <c r="O3095" s="22"/>
      <c r="P3095" s="22"/>
    </row>
    <row r="3096" spans="11:16" s="1" customFormat="1" x14ac:dyDescent="0.25">
      <c r="K3096" s="28"/>
      <c r="L3096" s="28"/>
      <c r="N3096" s="22"/>
      <c r="O3096" s="22"/>
      <c r="P3096" s="22"/>
    </row>
    <row r="3097" spans="11:16" s="1" customFormat="1" x14ac:dyDescent="0.25">
      <c r="K3097" s="28"/>
      <c r="L3097" s="28"/>
      <c r="N3097" s="22"/>
      <c r="O3097" s="22"/>
      <c r="P3097" s="22"/>
    </row>
    <row r="3098" spans="11:16" s="1" customFormat="1" x14ac:dyDescent="0.25">
      <c r="K3098" s="28"/>
      <c r="L3098" s="28"/>
      <c r="N3098" s="22"/>
      <c r="O3098" s="22"/>
      <c r="P3098" s="22"/>
    </row>
    <row r="3099" spans="11:16" s="1" customFormat="1" x14ac:dyDescent="0.25">
      <c r="K3099" s="28"/>
      <c r="L3099" s="28"/>
      <c r="N3099" s="22"/>
      <c r="O3099" s="22"/>
      <c r="P3099" s="22"/>
    </row>
    <row r="3100" spans="11:16" s="1" customFormat="1" x14ac:dyDescent="0.25">
      <c r="K3100" s="28"/>
      <c r="L3100" s="28"/>
      <c r="N3100" s="22"/>
      <c r="O3100" s="22"/>
      <c r="P3100" s="22"/>
    </row>
    <row r="3101" spans="11:16" s="1" customFormat="1" x14ac:dyDescent="0.25">
      <c r="K3101" s="28"/>
      <c r="L3101" s="28"/>
      <c r="N3101" s="22"/>
      <c r="O3101" s="22"/>
      <c r="P3101" s="22"/>
    </row>
    <row r="3102" spans="11:16" s="1" customFormat="1" x14ac:dyDescent="0.25">
      <c r="K3102" s="28"/>
      <c r="L3102" s="28"/>
      <c r="N3102" s="22"/>
      <c r="O3102" s="22"/>
      <c r="P3102" s="22"/>
    </row>
    <row r="3103" spans="11:16" s="1" customFormat="1" x14ac:dyDescent="0.25">
      <c r="K3103" s="28"/>
      <c r="L3103" s="28"/>
      <c r="N3103" s="22"/>
      <c r="O3103" s="22"/>
      <c r="P3103" s="22"/>
    </row>
    <row r="3104" spans="11:16" s="1" customFormat="1" x14ac:dyDescent="0.25">
      <c r="K3104" s="28"/>
      <c r="L3104" s="28"/>
      <c r="N3104" s="22"/>
      <c r="O3104" s="22"/>
      <c r="P3104" s="22"/>
    </row>
    <row r="3105" spans="11:16" s="1" customFormat="1" x14ac:dyDescent="0.25">
      <c r="K3105" s="28"/>
      <c r="L3105" s="28"/>
      <c r="N3105" s="22"/>
      <c r="O3105" s="22"/>
      <c r="P3105" s="22"/>
    </row>
    <row r="3106" spans="11:16" s="1" customFormat="1" x14ac:dyDescent="0.25">
      <c r="K3106" s="28"/>
      <c r="L3106" s="28"/>
      <c r="N3106" s="22"/>
      <c r="O3106" s="22"/>
      <c r="P3106" s="22"/>
    </row>
    <row r="3107" spans="11:16" s="1" customFormat="1" x14ac:dyDescent="0.25">
      <c r="K3107" s="28"/>
      <c r="L3107" s="28"/>
      <c r="N3107" s="22"/>
      <c r="O3107" s="22"/>
      <c r="P3107" s="22"/>
    </row>
    <row r="3108" spans="11:16" s="1" customFormat="1" x14ac:dyDescent="0.25">
      <c r="K3108" s="28"/>
      <c r="L3108" s="28"/>
      <c r="N3108" s="22"/>
      <c r="O3108" s="22"/>
      <c r="P3108" s="22"/>
    </row>
    <row r="3109" spans="11:16" s="1" customFormat="1" x14ac:dyDescent="0.25">
      <c r="K3109" s="28"/>
      <c r="L3109" s="28"/>
      <c r="N3109" s="22"/>
      <c r="O3109" s="22"/>
      <c r="P3109" s="22"/>
    </row>
    <row r="3110" spans="11:16" s="1" customFormat="1" x14ac:dyDescent="0.25">
      <c r="K3110" s="28"/>
      <c r="L3110" s="28"/>
      <c r="N3110" s="22"/>
      <c r="O3110" s="22"/>
      <c r="P3110" s="22"/>
    </row>
    <row r="3111" spans="11:16" s="1" customFormat="1" x14ac:dyDescent="0.25">
      <c r="K3111" s="28"/>
      <c r="L3111" s="28"/>
      <c r="N3111" s="22"/>
      <c r="O3111" s="22"/>
      <c r="P3111" s="22"/>
    </row>
    <row r="3112" spans="11:16" s="1" customFormat="1" x14ac:dyDescent="0.25">
      <c r="K3112" s="28"/>
      <c r="L3112" s="28"/>
      <c r="N3112" s="22"/>
      <c r="O3112" s="22"/>
      <c r="P3112" s="22"/>
    </row>
    <row r="3113" spans="11:16" s="1" customFormat="1" x14ac:dyDescent="0.25">
      <c r="K3113" s="28"/>
      <c r="L3113" s="28"/>
      <c r="N3113" s="22"/>
      <c r="O3113" s="22"/>
      <c r="P3113" s="22"/>
    </row>
    <row r="3114" spans="11:16" s="1" customFormat="1" x14ac:dyDescent="0.25">
      <c r="K3114" s="28"/>
      <c r="L3114" s="28"/>
      <c r="N3114" s="22"/>
      <c r="O3114" s="22"/>
      <c r="P3114" s="22"/>
    </row>
    <row r="3115" spans="11:16" s="1" customFormat="1" x14ac:dyDescent="0.25">
      <c r="K3115" s="28"/>
      <c r="L3115" s="28"/>
      <c r="N3115" s="22"/>
      <c r="O3115" s="22"/>
      <c r="P3115" s="22"/>
    </row>
    <row r="3116" spans="11:16" s="1" customFormat="1" x14ac:dyDescent="0.25">
      <c r="K3116" s="28"/>
      <c r="L3116" s="28"/>
      <c r="N3116" s="22"/>
      <c r="O3116" s="22"/>
      <c r="P3116" s="22"/>
    </row>
    <row r="3117" spans="11:16" s="1" customFormat="1" x14ac:dyDescent="0.25">
      <c r="K3117" s="28"/>
      <c r="L3117" s="28"/>
      <c r="N3117" s="22"/>
      <c r="O3117" s="22"/>
      <c r="P3117" s="22"/>
    </row>
    <row r="3118" spans="11:16" s="1" customFormat="1" x14ac:dyDescent="0.25">
      <c r="K3118" s="28"/>
      <c r="L3118" s="28"/>
      <c r="N3118" s="22"/>
      <c r="O3118" s="22"/>
      <c r="P3118" s="22"/>
    </row>
    <row r="3119" spans="11:16" s="1" customFormat="1" x14ac:dyDescent="0.25">
      <c r="K3119" s="28"/>
      <c r="L3119" s="28"/>
      <c r="N3119" s="22"/>
      <c r="O3119" s="22"/>
      <c r="P3119" s="22"/>
    </row>
    <row r="3120" spans="11:16" s="1" customFormat="1" x14ac:dyDescent="0.25">
      <c r="K3120" s="28"/>
      <c r="L3120" s="28"/>
      <c r="N3120" s="22"/>
      <c r="O3120" s="22"/>
      <c r="P3120" s="22"/>
    </row>
    <row r="3121" spans="11:16" s="1" customFormat="1" x14ac:dyDescent="0.25">
      <c r="K3121" s="28"/>
      <c r="L3121" s="28"/>
      <c r="N3121" s="22"/>
      <c r="O3121" s="22"/>
      <c r="P3121" s="22"/>
    </row>
    <row r="3122" spans="11:16" s="1" customFormat="1" x14ac:dyDescent="0.25">
      <c r="K3122" s="28"/>
      <c r="L3122" s="28"/>
      <c r="N3122" s="22"/>
      <c r="O3122" s="22"/>
      <c r="P3122" s="22"/>
    </row>
    <row r="3123" spans="11:16" s="1" customFormat="1" x14ac:dyDescent="0.25">
      <c r="K3123" s="28"/>
      <c r="L3123" s="28"/>
      <c r="N3123" s="22"/>
      <c r="O3123" s="22"/>
      <c r="P3123" s="22"/>
    </row>
    <row r="3124" spans="11:16" s="1" customFormat="1" x14ac:dyDescent="0.25">
      <c r="K3124" s="28"/>
      <c r="L3124" s="28"/>
      <c r="N3124" s="22"/>
      <c r="O3124" s="22"/>
      <c r="P3124" s="22"/>
    </row>
    <row r="3125" spans="11:16" s="1" customFormat="1" x14ac:dyDescent="0.25">
      <c r="K3125" s="28"/>
      <c r="L3125" s="28"/>
      <c r="N3125" s="22"/>
      <c r="O3125" s="22"/>
      <c r="P3125" s="22"/>
    </row>
    <row r="3126" spans="11:16" s="1" customFormat="1" x14ac:dyDescent="0.25">
      <c r="K3126" s="28"/>
      <c r="L3126" s="28"/>
      <c r="N3126" s="22"/>
      <c r="O3126" s="22"/>
      <c r="P3126" s="22"/>
    </row>
    <row r="3127" spans="11:16" s="1" customFormat="1" x14ac:dyDescent="0.25">
      <c r="K3127" s="28"/>
      <c r="L3127" s="28"/>
      <c r="N3127" s="22"/>
      <c r="O3127" s="22"/>
      <c r="P3127" s="22"/>
    </row>
    <row r="3128" spans="11:16" s="1" customFormat="1" x14ac:dyDescent="0.25">
      <c r="K3128" s="28"/>
      <c r="L3128" s="28"/>
      <c r="N3128" s="22"/>
      <c r="O3128" s="22"/>
      <c r="P3128" s="22"/>
    </row>
    <row r="3129" spans="11:16" s="1" customFormat="1" x14ac:dyDescent="0.25">
      <c r="K3129" s="28"/>
      <c r="L3129" s="28"/>
      <c r="N3129" s="22"/>
      <c r="O3129" s="22"/>
      <c r="P3129" s="22"/>
    </row>
    <row r="3130" spans="11:16" s="1" customFormat="1" x14ac:dyDescent="0.25">
      <c r="K3130" s="28"/>
      <c r="L3130" s="28"/>
      <c r="N3130" s="22"/>
      <c r="O3130" s="22"/>
      <c r="P3130" s="22"/>
    </row>
    <row r="3131" spans="11:16" s="1" customFormat="1" x14ac:dyDescent="0.25">
      <c r="K3131" s="28"/>
      <c r="L3131" s="28"/>
      <c r="N3131" s="22"/>
      <c r="O3131" s="22"/>
      <c r="P3131" s="22"/>
    </row>
    <row r="3132" spans="11:16" s="1" customFormat="1" x14ac:dyDescent="0.25">
      <c r="K3132" s="28"/>
      <c r="L3132" s="28"/>
      <c r="N3132" s="22"/>
      <c r="O3132" s="22"/>
      <c r="P3132" s="22"/>
    </row>
    <row r="3133" spans="11:16" s="1" customFormat="1" x14ac:dyDescent="0.25">
      <c r="K3133" s="28"/>
      <c r="L3133" s="28"/>
      <c r="N3133" s="22"/>
      <c r="O3133" s="22"/>
      <c r="P3133" s="22"/>
    </row>
    <row r="3134" spans="11:16" s="1" customFormat="1" x14ac:dyDescent="0.25">
      <c r="K3134" s="28"/>
      <c r="L3134" s="28"/>
      <c r="N3134" s="22"/>
      <c r="O3134" s="22"/>
      <c r="P3134" s="22"/>
    </row>
    <row r="3135" spans="11:16" s="1" customFormat="1" x14ac:dyDescent="0.25">
      <c r="K3135" s="28"/>
      <c r="L3135" s="28"/>
      <c r="N3135" s="22"/>
      <c r="O3135" s="22"/>
      <c r="P3135" s="22"/>
    </row>
    <row r="3136" spans="11:16" s="1" customFormat="1" x14ac:dyDescent="0.25">
      <c r="K3136" s="28"/>
      <c r="L3136" s="28"/>
      <c r="N3136" s="22"/>
      <c r="O3136" s="22"/>
      <c r="P3136" s="22"/>
    </row>
    <row r="3137" spans="11:16" s="1" customFormat="1" x14ac:dyDescent="0.25">
      <c r="K3137" s="28"/>
      <c r="L3137" s="28"/>
      <c r="N3137" s="22"/>
      <c r="O3137" s="22"/>
      <c r="P3137" s="22"/>
    </row>
    <row r="3138" spans="11:16" s="1" customFormat="1" x14ac:dyDescent="0.25">
      <c r="K3138" s="28"/>
      <c r="L3138" s="28"/>
      <c r="N3138" s="22"/>
      <c r="O3138" s="22"/>
      <c r="P3138" s="22"/>
    </row>
    <row r="3139" spans="11:16" s="1" customFormat="1" x14ac:dyDescent="0.25">
      <c r="K3139" s="28"/>
      <c r="L3139" s="28"/>
      <c r="N3139" s="22"/>
      <c r="O3139" s="22"/>
      <c r="P3139" s="22"/>
    </row>
    <row r="3140" spans="11:16" s="1" customFormat="1" x14ac:dyDescent="0.25">
      <c r="K3140" s="28"/>
      <c r="L3140" s="28"/>
      <c r="N3140" s="22"/>
      <c r="O3140" s="22"/>
      <c r="P3140" s="22"/>
    </row>
    <row r="3141" spans="11:16" s="1" customFormat="1" x14ac:dyDescent="0.25">
      <c r="K3141" s="28"/>
      <c r="L3141" s="28"/>
      <c r="N3141" s="22"/>
      <c r="O3141" s="22"/>
      <c r="P3141" s="22"/>
    </row>
    <row r="3142" spans="11:16" s="1" customFormat="1" x14ac:dyDescent="0.25">
      <c r="K3142" s="28"/>
      <c r="L3142" s="28"/>
      <c r="N3142" s="22"/>
      <c r="O3142" s="22"/>
      <c r="P3142" s="22"/>
    </row>
    <row r="3143" spans="11:16" s="1" customFormat="1" x14ac:dyDescent="0.25">
      <c r="K3143" s="28"/>
      <c r="L3143" s="28"/>
      <c r="N3143" s="22"/>
      <c r="O3143" s="22"/>
      <c r="P3143" s="22"/>
    </row>
    <row r="3144" spans="11:16" s="1" customFormat="1" x14ac:dyDescent="0.25">
      <c r="K3144" s="28"/>
      <c r="L3144" s="28"/>
      <c r="N3144" s="22"/>
      <c r="O3144" s="22"/>
      <c r="P3144" s="22"/>
    </row>
    <row r="3145" spans="11:16" s="1" customFormat="1" x14ac:dyDescent="0.25">
      <c r="K3145" s="28"/>
      <c r="L3145" s="28"/>
      <c r="N3145" s="22"/>
      <c r="O3145" s="22"/>
      <c r="P3145" s="22"/>
    </row>
    <row r="3146" spans="11:16" s="1" customFormat="1" x14ac:dyDescent="0.25">
      <c r="K3146" s="28"/>
      <c r="L3146" s="28"/>
      <c r="N3146" s="22"/>
      <c r="O3146" s="22"/>
      <c r="P3146" s="22"/>
    </row>
    <row r="3147" spans="11:16" s="1" customFormat="1" x14ac:dyDescent="0.25">
      <c r="K3147" s="28"/>
      <c r="L3147" s="28"/>
      <c r="N3147" s="22"/>
      <c r="O3147" s="22"/>
      <c r="P3147" s="22"/>
    </row>
    <row r="3148" spans="11:16" s="1" customFormat="1" x14ac:dyDescent="0.25">
      <c r="K3148" s="28"/>
      <c r="L3148" s="28"/>
      <c r="N3148" s="22"/>
      <c r="O3148" s="22"/>
      <c r="P3148" s="22"/>
    </row>
    <row r="3149" spans="11:16" s="1" customFormat="1" x14ac:dyDescent="0.25">
      <c r="K3149" s="28"/>
      <c r="L3149" s="28"/>
      <c r="N3149" s="22"/>
      <c r="O3149" s="22"/>
      <c r="P3149" s="22"/>
    </row>
    <row r="3150" spans="11:16" s="1" customFormat="1" x14ac:dyDescent="0.25">
      <c r="K3150" s="28"/>
      <c r="L3150" s="28"/>
      <c r="N3150" s="22"/>
      <c r="O3150" s="22"/>
      <c r="P3150" s="22"/>
    </row>
    <row r="3151" spans="11:16" s="1" customFormat="1" x14ac:dyDescent="0.25">
      <c r="K3151" s="28"/>
      <c r="L3151" s="28"/>
      <c r="N3151" s="22"/>
      <c r="O3151" s="22"/>
      <c r="P3151" s="22"/>
    </row>
    <row r="3152" spans="11:16" s="1" customFormat="1" x14ac:dyDescent="0.25">
      <c r="K3152" s="28"/>
      <c r="L3152" s="28"/>
      <c r="N3152" s="22"/>
      <c r="O3152" s="22"/>
      <c r="P3152" s="22"/>
    </row>
    <row r="3153" spans="11:16" s="1" customFormat="1" x14ac:dyDescent="0.25">
      <c r="K3153" s="28"/>
      <c r="L3153" s="28"/>
      <c r="N3153" s="22"/>
      <c r="O3153" s="22"/>
      <c r="P3153" s="22"/>
    </row>
    <row r="3154" spans="11:16" s="1" customFormat="1" x14ac:dyDescent="0.25">
      <c r="K3154" s="28"/>
      <c r="L3154" s="28"/>
      <c r="N3154" s="22"/>
      <c r="O3154" s="22"/>
      <c r="P3154" s="22"/>
    </row>
    <row r="3155" spans="11:16" s="1" customFormat="1" x14ac:dyDescent="0.25">
      <c r="K3155" s="28"/>
      <c r="L3155" s="28"/>
      <c r="N3155" s="22"/>
      <c r="O3155" s="22"/>
      <c r="P3155" s="22"/>
    </row>
    <row r="3156" spans="11:16" s="1" customFormat="1" x14ac:dyDescent="0.25">
      <c r="K3156" s="28"/>
      <c r="L3156" s="28"/>
      <c r="N3156" s="22"/>
      <c r="O3156" s="22"/>
      <c r="P3156" s="22"/>
    </row>
    <row r="3157" spans="11:16" s="1" customFormat="1" x14ac:dyDescent="0.25">
      <c r="K3157" s="28"/>
      <c r="L3157" s="28"/>
      <c r="N3157" s="22"/>
      <c r="O3157" s="22"/>
      <c r="P3157" s="22"/>
    </row>
    <row r="3158" spans="11:16" s="1" customFormat="1" x14ac:dyDescent="0.25">
      <c r="K3158" s="28"/>
      <c r="L3158" s="28"/>
      <c r="N3158" s="22"/>
      <c r="O3158" s="22"/>
      <c r="P3158" s="22"/>
    </row>
    <row r="3159" spans="11:16" s="1" customFormat="1" x14ac:dyDescent="0.25">
      <c r="K3159" s="28"/>
      <c r="L3159" s="28"/>
      <c r="N3159" s="22"/>
      <c r="O3159" s="22"/>
      <c r="P3159" s="22"/>
    </row>
    <row r="3160" spans="11:16" s="1" customFormat="1" x14ac:dyDescent="0.25">
      <c r="K3160" s="28"/>
      <c r="L3160" s="28"/>
      <c r="N3160" s="22"/>
      <c r="O3160" s="22"/>
      <c r="P3160" s="22"/>
    </row>
    <row r="3161" spans="11:16" s="1" customFormat="1" x14ac:dyDescent="0.25">
      <c r="K3161" s="28"/>
      <c r="L3161" s="28"/>
      <c r="N3161" s="22"/>
      <c r="O3161" s="22"/>
      <c r="P3161" s="22"/>
    </row>
    <row r="3162" spans="11:16" s="1" customFormat="1" x14ac:dyDescent="0.25">
      <c r="K3162" s="28"/>
      <c r="L3162" s="28"/>
      <c r="N3162" s="22"/>
      <c r="O3162" s="22"/>
      <c r="P3162" s="22"/>
    </row>
    <row r="3163" spans="11:16" s="1" customFormat="1" x14ac:dyDescent="0.25">
      <c r="K3163" s="28"/>
      <c r="L3163" s="28"/>
      <c r="N3163" s="22"/>
      <c r="O3163" s="22"/>
      <c r="P3163" s="22"/>
    </row>
    <row r="3164" spans="11:16" s="1" customFormat="1" x14ac:dyDescent="0.25">
      <c r="K3164" s="28"/>
      <c r="L3164" s="28"/>
      <c r="N3164" s="22"/>
      <c r="O3164" s="22"/>
      <c r="P3164" s="22"/>
    </row>
    <row r="3165" spans="11:16" s="1" customFormat="1" x14ac:dyDescent="0.25">
      <c r="K3165" s="28"/>
      <c r="L3165" s="28"/>
      <c r="N3165" s="22"/>
      <c r="O3165" s="22"/>
      <c r="P3165" s="22"/>
    </row>
    <row r="3166" spans="11:16" s="1" customFormat="1" x14ac:dyDescent="0.25">
      <c r="K3166" s="28"/>
      <c r="L3166" s="28"/>
      <c r="N3166" s="22"/>
      <c r="O3166" s="22"/>
      <c r="P3166" s="22"/>
    </row>
    <row r="3167" spans="11:16" s="1" customFormat="1" x14ac:dyDescent="0.25">
      <c r="K3167" s="28"/>
      <c r="L3167" s="28"/>
      <c r="N3167" s="22"/>
      <c r="O3167" s="22"/>
      <c r="P3167" s="22"/>
    </row>
    <row r="3168" spans="11:16" s="1" customFormat="1" x14ac:dyDescent="0.25">
      <c r="K3168" s="28"/>
      <c r="L3168" s="28"/>
      <c r="N3168" s="22"/>
      <c r="O3168" s="22"/>
      <c r="P3168" s="22"/>
    </row>
    <row r="3169" spans="11:16" s="1" customFormat="1" x14ac:dyDescent="0.25">
      <c r="K3169" s="28"/>
      <c r="L3169" s="28"/>
      <c r="N3169" s="22"/>
      <c r="O3169" s="22"/>
      <c r="P3169" s="22"/>
    </row>
    <row r="3170" spans="11:16" s="1" customFormat="1" x14ac:dyDescent="0.25">
      <c r="K3170" s="28"/>
      <c r="L3170" s="28"/>
      <c r="N3170" s="22"/>
      <c r="O3170" s="22"/>
      <c r="P3170" s="22"/>
    </row>
    <row r="3171" spans="11:16" s="1" customFormat="1" x14ac:dyDescent="0.25">
      <c r="K3171" s="28"/>
      <c r="L3171" s="28"/>
      <c r="N3171" s="22"/>
      <c r="O3171" s="22"/>
      <c r="P3171" s="22"/>
    </row>
    <row r="3172" spans="11:16" s="1" customFormat="1" x14ac:dyDescent="0.25">
      <c r="K3172" s="28"/>
      <c r="L3172" s="28"/>
      <c r="N3172" s="22"/>
      <c r="O3172" s="22"/>
      <c r="P3172" s="22"/>
    </row>
    <row r="3173" spans="11:16" s="1" customFormat="1" x14ac:dyDescent="0.25">
      <c r="K3173" s="28"/>
      <c r="L3173" s="28"/>
      <c r="N3173" s="22"/>
      <c r="O3173" s="22"/>
      <c r="P3173" s="22"/>
    </row>
    <row r="3174" spans="11:16" s="1" customFormat="1" x14ac:dyDescent="0.25">
      <c r="K3174" s="28"/>
      <c r="L3174" s="28"/>
      <c r="N3174" s="22"/>
      <c r="O3174" s="22"/>
      <c r="P3174" s="22"/>
    </row>
    <row r="3175" spans="11:16" s="1" customFormat="1" x14ac:dyDescent="0.25">
      <c r="K3175" s="28"/>
      <c r="L3175" s="28"/>
      <c r="N3175" s="22"/>
      <c r="O3175" s="22"/>
      <c r="P3175" s="22"/>
    </row>
    <row r="3176" spans="11:16" s="1" customFormat="1" x14ac:dyDescent="0.25">
      <c r="K3176" s="28"/>
      <c r="L3176" s="28"/>
      <c r="N3176" s="22"/>
      <c r="O3176" s="22"/>
      <c r="P3176" s="22"/>
    </row>
    <row r="3177" spans="11:16" s="1" customFormat="1" x14ac:dyDescent="0.25">
      <c r="K3177" s="28"/>
      <c r="L3177" s="28"/>
      <c r="N3177" s="22"/>
      <c r="O3177" s="22"/>
      <c r="P3177" s="22"/>
    </row>
    <row r="3178" spans="11:16" s="1" customFormat="1" x14ac:dyDescent="0.25">
      <c r="K3178" s="28"/>
      <c r="L3178" s="28"/>
      <c r="N3178" s="22"/>
      <c r="O3178" s="22"/>
      <c r="P3178" s="22"/>
    </row>
    <row r="3179" spans="11:16" s="1" customFormat="1" x14ac:dyDescent="0.25">
      <c r="K3179" s="28"/>
      <c r="L3179" s="28"/>
      <c r="N3179" s="22"/>
      <c r="O3179" s="22"/>
      <c r="P3179" s="22"/>
    </row>
    <row r="3180" spans="11:16" s="1" customFormat="1" x14ac:dyDescent="0.25">
      <c r="K3180" s="28"/>
      <c r="L3180" s="28"/>
      <c r="N3180" s="22"/>
      <c r="O3180" s="22"/>
      <c r="P3180" s="22"/>
    </row>
    <row r="3181" spans="11:16" s="1" customFormat="1" x14ac:dyDescent="0.25">
      <c r="K3181" s="28"/>
      <c r="L3181" s="28"/>
      <c r="N3181" s="22"/>
      <c r="O3181" s="22"/>
      <c r="P3181" s="22"/>
    </row>
    <row r="3182" spans="11:16" s="1" customFormat="1" x14ac:dyDescent="0.25">
      <c r="K3182" s="28"/>
      <c r="L3182" s="28"/>
      <c r="N3182" s="22"/>
      <c r="O3182" s="22"/>
      <c r="P3182" s="22"/>
    </row>
    <row r="3183" spans="11:16" s="1" customFormat="1" x14ac:dyDescent="0.25">
      <c r="K3183" s="28"/>
      <c r="L3183" s="28"/>
      <c r="N3183" s="22"/>
      <c r="O3183" s="22"/>
      <c r="P3183" s="22"/>
    </row>
    <row r="3184" spans="11:16" s="1" customFormat="1" x14ac:dyDescent="0.25">
      <c r="K3184" s="28"/>
      <c r="L3184" s="28"/>
      <c r="N3184" s="22"/>
      <c r="O3184" s="22"/>
      <c r="P3184" s="22"/>
    </row>
    <row r="3185" spans="11:16" s="1" customFormat="1" x14ac:dyDescent="0.25">
      <c r="K3185" s="28"/>
      <c r="L3185" s="28"/>
      <c r="N3185" s="22"/>
      <c r="O3185" s="22"/>
      <c r="P3185" s="22"/>
    </row>
    <row r="3186" spans="11:16" s="1" customFormat="1" x14ac:dyDescent="0.25">
      <c r="K3186" s="28"/>
      <c r="L3186" s="28"/>
      <c r="N3186" s="22"/>
      <c r="O3186" s="22"/>
      <c r="P3186" s="22"/>
    </row>
    <row r="3187" spans="11:16" s="1" customFormat="1" x14ac:dyDescent="0.25">
      <c r="K3187" s="28"/>
      <c r="L3187" s="28"/>
      <c r="N3187" s="22"/>
      <c r="O3187" s="22"/>
      <c r="P3187" s="22"/>
    </row>
    <row r="3188" spans="11:16" s="1" customFormat="1" x14ac:dyDescent="0.25">
      <c r="K3188" s="28"/>
      <c r="L3188" s="28"/>
      <c r="N3188" s="22"/>
      <c r="O3188" s="22"/>
      <c r="P3188" s="22"/>
    </row>
    <row r="3189" spans="11:16" s="1" customFormat="1" x14ac:dyDescent="0.25">
      <c r="K3189" s="28"/>
      <c r="L3189" s="28"/>
      <c r="N3189" s="22"/>
      <c r="O3189" s="22"/>
      <c r="P3189" s="22"/>
    </row>
    <row r="3190" spans="11:16" s="1" customFormat="1" x14ac:dyDescent="0.25">
      <c r="K3190" s="28"/>
      <c r="L3190" s="28"/>
      <c r="N3190" s="22"/>
      <c r="O3190" s="22"/>
      <c r="P3190" s="22"/>
    </row>
    <row r="3191" spans="11:16" s="1" customFormat="1" x14ac:dyDescent="0.25">
      <c r="K3191" s="28"/>
      <c r="L3191" s="28"/>
      <c r="N3191" s="22"/>
      <c r="O3191" s="22"/>
      <c r="P3191" s="22"/>
    </row>
    <row r="3192" spans="11:16" s="1" customFormat="1" x14ac:dyDescent="0.25">
      <c r="K3192" s="28"/>
      <c r="L3192" s="28"/>
      <c r="N3192" s="22"/>
      <c r="O3192" s="22"/>
      <c r="P3192" s="22"/>
    </row>
    <row r="3193" spans="11:16" s="1" customFormat="1" x14ac:dyDescent="0.25">
      <c r="K3193" s="28"/>
      <c r="L3193" s="28"/>
      <c r="N3193" s="22"/>
      <c r="O3193" s="22"/>
      <c r="P3193" s="22"/>
    </row>
    <row r="3194" spans="11:16" s="1" customFormat="1" x14ac:dyDescent="0.25">
      <c r="K3194" s="28"/>
      <c r="L3194" s="28"/>
      <c r="N3194" s="22"/>
      <c r="O3194" s="22"/>
      <c r="P3194" s="22"/>
    </row>
    <row r="3195" spans="11:16" s="1" customFormat="1" x14ac:dyDescent="0.25">
      <c r="K3195" s="28"/>
      <c r="L3195" s="28"/>
      <c r="N3195" s="22"/>
      <c r="O3195" s="22"/>
      <c r="P3195" s="22"/>
    </row>
    <row r="3196" spans="11:16" s="1" customFormat="1" x14ac:dyDescent="0.25">
      <c r="K3196" s="28"/>
      <c r="L3196" s="28"/>
      <c r="N3196" s="22"/>
      <c r="O3196" s="22"/>
      <c r="P3196" s="22"/>
    </row>
    <row r="3197" spans="11:16" s="1" customFormat="1" x14ac:dyDescent="0.25">
      <c r="K3197" s="28"/>
      <c r="L3197" s="28"/>
      <c r="N3197" s="22"/>
      <c r="O3197" s="22"/>
      <c r="P3197" s="22"/>
    </row>
    <row r="3198" spans="11:16" s="1" customFormat="1" x14ac:dyDescent="0.25">
      <c r="K3198" s="28"/>
      <c r="L3198" s="28"/>
      <c r="N3198" s="22"/>
      <c r="O3198" s="22"/>
      <c r="P3198" s="22"/>
    </row>
    <row r="3199" spans="11:16" s="1" customFormat="1" x14ac:dyDescent="0.25">
      <c r="K3199" s="28"/>
      <c r="L3199" s="28"/>
      <c r="N3199" s="22"/>
      <c r="O3199" s="22"/>
      <c r="P3199" s="22"/>
    </row>
    <row r="3200" spans="11:16" s="1" customFormat="1" x14ac:dyDescent="0.25">
      <c r="K3200" s="28"/>
      <c r="L3200" s="28"/>
      <c r="N3200" s="22"/>
      <c r="O3200" s="22"/>
      <c r="P3200" s="22"/>
    </row>
    <row r="3201" spans="11:16" s="1" customFormat="1" x14ac:dyDescent="0.25">
      <c r="K3201" s="28"/>
      <c r="L3201" s="28"/>
      <c r="N3201" s="22"/>
      <c r="O3201" s="22"/>
      <c r="P3201" s="22"/>
    </row>
    <row r="3202" spans="11:16" s="1" customFormat="1" x14ac:dyDescent="0.25">
      <c r="K3202" s="28"/>
      <c r="L3202" s="28"/>
      <c r="N3202" s="22"/>
      <c r="O3202" s="22"/>
      <c r="P3202" s="22"/>
    </row>
    <row r="3203" spans="11:16" s="1" customFormat="1" x14ac:dyDescent="0.25">
      <c r="K3203" s="28"/>
      <c r="L3203" s="28"/>
      <c r="N3203" s="22"/>
      <c r="O3203" s="22"/>
      <c r="P3203" s="22"/>
    </row>
    <row r="3204" spans="11:16" s="1" customFormat="1" x14ac:dyDescent="0.25">
      <c r="K3204" s="28"/>
      <c r="L3204" s="28"/>
      <c r="N3204" s="22"/>
      <c r="O3204" s="22"/>
      <c r="P3204" s="22"/>
    </row>
    <row r="3205" spans="11:16" s="1" customFormat="1" x14ac:dyDescent="0.25">
      <c r="K3205" s="28"/>
      <c r="L3205" s="28"/>
      <c r="N3205" s="22"/>
      <c r="O3205" s="22"/>
      <c r="P3205" s="22"/>
    </row>
    <row r="3206" spans="11:16" s="1" customFormat="1" x14ac:dyDescent="0.25">
      <c r="K3206" s="28"/>
      <c r="L3206" s="28"/>
      <c r="N3206" s="22"/>
      <c r="O3206" s="22"/>
      <c r="P3206" s="22"/>
    </row>
    <row r="3207" spans="11:16" s="1" customFormat="1" x14ac:dyDescent="0.25">
      <c r="K3207" s="28"/>
      <c r="L3207" s="28"/>
      <c r="N3207" s="22"/>
      <c r="O3207" s="22"/>
      <c r="P3207" s="22"/>
    </row>
    <row r="3208" spans="11:16" s="1" customFormat="1" x14ac:dyDescent="0.25">
      <c r="K3208" s="28"/>
      <c r="L3208" s="28"/>
      <c r="N3208" s="22"/>
      <c r="O3208" s="22"/>
      <c r="P3208" s="22"/>
    </row>
    <row r="3209" spans="11:16" s="1" customFormat="1" x14ac:dyDescent="0.25">
      <c r="K3209" s="28"/>
      <c r="L3209" s="28"/>
      <c r="N3209" s="22"/>
      <c r="O3209" s="22"/>
      <c r="P3209" s="22"/>
    </row>
    <row r="3210" spans="11:16" s="1" customFormat="1" x14ac:dyDescent="0.25">
      <c r="K3210" s="28"/>
      <c r="L3210" s="28"/>
      <c r="N3210" s="22"/>
      <c r="O3210" s="22"/>
      <c r="P3210" s="22"/>
    </row>
    <row r="3211" spans="11:16" s="1" customFormat="1" x14ac:dyDescent="0.25">
      <c r="K3211" s="28"/>
      <c r="L3211" s="28"/>
      <c r="N3211" s="22"/>
      <c r="O3211" s="22"/>
      <c r="P3211" s="22"/>
    </row>
    <row r="3212" spans="11:16" s="1" customFormat="1" x14ac:dyDescent="0.25">
      <c r="K3212" s="28"/>
      <c r="L3212" s="28"/>
      <c r="N3212" s="22"/>
      <c r="O3212" s="22"/>
      <c r="P3212" s="22"/>
    </row>
    <row r="3213" spans="11:16" s="1" customFormat="1" x14ac:dyDescent="0.25">
      <c r="K3213" s="28"/>
      <c r="L3213" s="28"/>
      <c r="N3213" s="22"/>
      <c r="O3213" s="22"/>
      <c r="P3213" s="22"/>
    </row>
    <row r="3214" spans="11:16" s="1" customFormat="1" x14ac:dyDescent="0.25">
      <c r="K3214" s="28"/>
      <c r="L3214" s="28"/>
      <c r="N3214" s="22"/>
      <c r="O3214" s="22"/>
      <c r="P3214" s="22"/>
    </row>
    <row r="3215" spans="11:16" s="1" customFormat="1" x14ac:dyDescent="0.25">
      <c r="K3215" s="28"/>
      <c r="L3215" s="28"/>
      <c r="N3215" s="22"/>
      <c r="O3215" s="22"/>
      <c r="P3215" s="22"/>
    </row>
    <row r="3216" spans="11:16" s="1" customFormat="1" x14ac:dyDescent="0.25">
      <c r="K3216" s="28"/>
      <c r="L3216" s="28"/>
      <c r="N3216" s="22"/>
      <c r="O3216" s="22"/>
      <c r="P3216" s="22"/>
    </row>
    <row r="3217" spans="11:16" s="1" customFormat="1" x14ac:dyDescent="0.25">
      <c r="K3217" s="28"/>
      <c r="L3217" s="28"/>
      <c r="N3217" s="22"/>
      <c r="O3217" s="22"/>
      <c r="P3217" s="22"/>
    </row>
    <row r="3218" spans="11:16" s="1" customFormat="1" x14ac:dyDescent="0.25">
      <c r="K3218" s="28"/>
      <c r="L3218" s="28"/>
      <c r="N3218" s="22"/>
      <c r="O3218" s="22"/>
      <c r="P3218" s="22"/>
    </row>
    <row r="3219" spans="11:16" s="1" customFormat="1" x14ac:dyDescent="0.25">
      <c r="K3219" s="28"/>
      <c r="L3219" s="28"/>
      <c r="N3219" s="22"/>
      <c r="O3219" s="22"/>
      <c r="P3219" s="22"/>
    </row>
    <row r="3220" spans="11:16" s="1" customFormat="1" x14ac:dyDescent="0.25">
      <c r="K3220" s="28"/>
      <c r="L3220" s="28"/>
      <c r="N3220" s="22"/>
      <c r="O3220" s="22"/>
      <c r="P3220" s="22"/>
    </row>
    <row r="3221" spans="11:16" s="1" customFormat="1" x14ac:dyDescent="0.25">
      <c r="K3221" s="28"/>
      <c r="L3221" s="28"/>
      <c r="N3221" s="22"/>
      <c r="O3221" s="22"/>
      <c r="P3221" s="22"/>
    </row>
    <row r="3222" spans="11:16" s="1" customFormat="1" x14ac:dyDescent="0.25">
      <c r="K3222" s="28"/>
      <c r="L3222" s="28"/>
      <c r="N3222" s="22"/>
      <c r="O3222" s="22"/>
      <c r="P3222" s="22"/>
    </row>
    <row r="3223" spans="11:16" s="1" customFormat="1" x14ac:dyDescent="0.25">
      <c r="K3223" s="28"/>
      <c r="L3223" s="28"/>
      <c r="N3223" s="22"/>
      <c r="O3223" s="22"/>
      <c r="P3223" s="22"/>
    </row>
    <row r="3224" spans="11:16" s="1" customFormat="1" x14ac:dyDescent="0.25">
      <c r="K3224" s="28"/>
      <c r="L3224" s="28"/>
      <c r="N3224" s="22"/>
      <c r="O3224" s="22"/>
      <c r="P3224" s="22"/>
    </row>
    <row r="3225" spans="11:16" s="1" customFormat="1" x14ac:dyDescent="0.25">
      <c r="K3225" s="28"/>
      <c r="L3225" s="28"/>
      <c r="N3225" s="22"/>
      <c r="O3225" s="22"/>
      <c r="P3225" s="22"/>
    </row>
    <row r="3226" spans="11:16" s="1" customFormat="1" x14ac:dyDescent="0.25">
      <c r="K3226" s="28"/>
      <c r="L3226" s="28"/>
      <c r="N3226" s="22"/>
      <c r="O3226" s="22"/>
      <c r="P3226" s="22"/>
    </row>
    <row r="3227" spans="11:16" s="1" customFormat="1" x14ac:dyDescent="0.25">
      <c r="K3227" s="28"/>
      <c r="L3227" s="28"/>
      <c r="N3227" s="22"/>
      <c r="O3227" s="22"/>
      <c r="P3227" s="22"/>
    </row>
    <row r="3228" spans="11:16" s="1" customFormat="1" x14ac:dyDescent="0.25">
      <c r="K3228" s="28"/>
      <c r="L3228" s="28"/>
      <c r="N3228" s="22"/>
      <c r="O3228" s="22"/>
      <c r="P3228" s="22"/>
    </row>
    <row r="3229" spans="11:16" s="1" customFormat="1" x14ac:dyDescent="0.25">
      <c r="K3229" s="28"/>
      <c r="L3229" s="28"/>
      <c r="N3229" s="22"/>
      <c r="O3229" s="22"/>
      <c r="P3229" s="22"/>
    </row>
    <row r="3230" spans="11:16" s="1" customFormat="1" x14ac:dyDescent="0.25">
      <c r="K3230" s="28"/>
      <c r="L3230" s="28"/>
      <c r="N3230" s="22"/>
      <c r="O3230" s="22"/>
      <c r="P3230" s="22"/>
    </row>
    <row r="3231" spans="11:16" s="1" customFormat="1" x14ac:dyDescent="0.25">
      <c r="K3231" s="28"/>
      <c r="L3231" s="28"/>
      <c r="N3231" s="22"/>
      <c r="O3231" s="22"/>
      <c r="P3231" s="22"/>
    </row>
    <row r="3232" spans="11:16" s="1" customFormat="1" x14ac:dyDescent="0.25">
      <c r="K3232" s="28"/>
      <c r="L3232" s="28"/>
      <c r="N3232" s="22"/>
      <c r="O3232" s="22"/>
      <c r="P3232" s="22"/>
    </row>
    <row r="3233" spans="11:16" s="1" customFormat="1" x14ac:dyDescent="0.25">
      <c r="K3233" s="28"/>
      <c r="L3233" s="28"/>
      <c r="N3233" s="22"/>
      <c r="O3233" s="22"/>
      <c r="P3233" s="22"/>
    </row>
    <row r="3234" spans="11:16" s="1" customFormat="1" x14ac:dyDescent="0.25">
      <c r="K3234" s="28"/>
      <c r="L3234" s="28"/>
      <c r="N3234" s="22"/>
      <c r="O3234" s="22"/>
      <c r="P3234" s="22"/>
    </row>
    <row r="3235" spans="11:16" s="1" customFormat="1" x14ac:dyDescent="0.25">
      <c r="K3235" s="28"/>
      <c r="L3235" s="28"/>
      <c r="N3235" s="22"/>
      <c r="O3235" s="22"/>
      <c r="P3235" s="22"/>
    </row>
    <row r="3236" spans="11:16" s="1" customFormat="1" x14ac:dyDescent="0.25">
      <c r="K3236" s="28"/>
      <c r="L3236" s="28"/>
      <c r="N3236" s="22"/>
      <c r="O3236" s="22"/>
      <c r="P3236" s="22"/>
    </row>
    <row r="3237" spans="11:16" s="1" customFormat="1" x14ac:dyDescent="0.25">
      <c r="K3237" s="28"/>
      <c r="L3237" s="28"/>
      <c r="N3237" s="22"/>
      <c r="O3237" s="22"/>
      <c r="P3237" s="22"/>
    </row>
    <row r="3238" spans="11:16" s="1" customFormat="1" x14ac:dyDescent="0.25">
      <c r="K3238" s="28"/>
      <c r="L3238" s="28"/>
      <c r="N3238" s="22"/>
      <c r="O3238" s="22"/>
      <c r="P3238" s="22"/>
    </row>
    <row r="3239" spans="11:16" s="1" customFormat="1" x14ac:dyDescent="0.25">
      <c r="K3239" s="28"/>
      <c r="L3239" s="28"/>
      <c r="N3239" s="22"/>
      <c r="O3239" s="22"/>
      <c r="P3239" s="22"/>
    </row>
    <row r="3240" spans="11:16" s="1" customFormat="1" x14ac:dyDescent="0.25">
      <c r="K3240" s="28"/>
      <c r="L3240" s="28"/>
      <c r="N3240" s="22"/>
      <c r="O3240" s="22"/>
      <c r="P3240" s="22"/>
    </row>
    <row r="3241" spans="11:16" s="1" customFormat="1" x14ac:dyDescent="0.25">
      <c r="K3241" s="28"/>
      <c r="L3241" s="28"/>
      <c r="N3241" s="22"/>
      <c r="O3241" s="22"/>
      <c r="P3241" s="22"/>
    </row>
    <row r="3242" spans="11:16" s="1" customFormat="1" x14ac:dyDescent="0.25">
      <c r="K3242" s="28"/>
      <c r="L3242" s="28"/>
      <c r="N3242" s="22"/>
      <c r="O3242" s="22"/>
      <c r="P3242" s="22"/>
    </row>
    <row r="3243" spans="11:16" s="1" customFormat="1" x14ac:dyDescent="0.25">
      <c r="K3243" s="28"/>
      <c r="L3243" s="28"/>
      <c r="N3243" s="22"/>
      <c r="O3243" s="22"/>
      <c r="P3243" s="22"/>
    </row>
    <row r="3244" spans="11:16" s="1" customFormat="1" x14ac:dyDescent="0.25">
      <c r="K3244" s="28"/>
      <c r="L3244" s="28"/>
      <c r="N3244" s="22"/>
      <c r="O3244" s="22"/>
      <c r="P3244" s="22"/>
    </row>
    <row r="3245" spans="11:16" s="1" customFormat="1" x14ac:dyDescent="0.25">
      <c r="K3245" s="28"/>
      <c r="L3245" s="28"/>
      <c r="N3245" s="22"/>
      <c r="O3245" s="22"/>
      <c r="P3245" s="22"/>
    </row>
    <row r="3246" spans="11:16" s="1" customFormat="1" x14ac:dyDescent="0.25">
      <c r="K3246" s="28"/>
      <c r="L3246" s="28"/>
      <c r="N3246" s="22"/>
      <c r="O3246" s="22"/>
      <c r="P3246" s="22"/>
    </row>
    <row r="3247" spans="11:16" s="1" customFormat="1" x14ac:dyDescent="0.25">
      <c r="K3247" s="28"/>
      <c r="L3247" s="28"/>
      <c r="N3247" s="22"/>
      <c r="O3247" s="22"/>
      <c r="P3247" s="22"/>
    </row>
    <row r="3248" spans="11:16" s="1" customFormat="1" x14ac:dyDescent="0.25">
      <c r="K3248" s="28"/>
      <c r="L3248" s="28"/>
      <c r="N3248" s="22"/>
      <c r="O3248" s="22"/>
      <c r="P3248" s="22"/>
    </row>
    <row r="3249" spans="11:16" s="1" customFormat="1" x14ac:dyDescent="0.25">
      <c r="K3249" s="28"/>
      <c r="L3249" s="28"/>
      <c r="N3249" s="22"/>
      <c r="O3249" s="22"/>
      <c r="P3249" s="22"/>
    </row>
    <row r="3250" spans="11:16" s="1" customFormat="1" x14ac:dyDescent="0.25">
      <c r="K3250" s="28"/>
      <c r="L3250" s="28"/>
      <c r="N3250" s="22"/>
      <c r="O3250" s="22"/>
      <c r="P3250" s="22"/>
    </row>
    <row r="3251" spans="11:16" s="1" customFormat="1" x14ac:dyDescent="0.25">
      <c r="K3251" s="28"/>
      <c r="L3251" s="28"/>
      <c r="N3251" s="22"/>
      <c r="O3251" s="22"/>
      <c r="P3251" s="22"/>
    </row>
    <row r="3252" spans="11:16" s="1" customFormat="1" x14ac:dyDescent="0.25">
      <c r="K3252" s="28"/>
      <c r="L3252" s="28"/>
      <c r="N3252" s="22"/>
      <c r="O3252" s="22"/>
      <c r="P3252" s="22"/>
    </row>
    <row r="3253" spans="11:16" s="1" customFormat="1" x14ac:dyDescent="0.25">
      <c r="K3253" s="28"/>
      <c r="L3253" s="28"/>
      <c r="N3253" s="22"/>
      <c r="O3253" s="22"/>
      <c r="P3253" s="22"/>
    </row>
    <row r="3254" spans="11:16" s="1" customFormat="1" x14ac:dyDescent="0.25">
      <c r="K3254" s="28"/>
      <c r="L3254" s="28"/>
      <c r="N3254" s="22"/>
      <c r="O3254" s="22"/>
      <c r="P3254" s="22"/>
    </row>
    <row r="3255" spans="11:16" s="1" customFormat="1" x14ac:dyDescent="0.25">
      <c r="K3255" s="28"/>
      <c r="L3255" s="28"/>
      <c r="N3255" s="22"/>
      <c r="O3255" s="22"/>
      <c r="P3255" s="22"/>
    </row>
    <row r="3256" spans="11:16" s="1" customFormat="1" x14ac:dyDescent="0.25">
      <c r="K3256" s="28"/>
      <c r="L3256" s="28"/>
      <c r="N3256" s="22"/>
      <c r="O3256" s="22"/>
      <c r="P3256" s="22"/>
    </row>
    <row r="3257" spans="11:16" s="1" customFormat="1" x14ac:dyDescent="0.25">
      <c r="K3257" s="28"/>
      <c r="L3257" s="28"/>
      <c r="N3257" s="22"/>
      <c r="O3257" s="22"/>
      <c r="P3257" s="22"/>
    </row>
    <row r="3258" spans="11:16" s="1" customFormat="1" x14ac:dyDescent="0.25">
      <c r="K3258" s="28"/>
      <c r="L3258" s="28"/>
      <c r="N3258" s="22"/>
      <c r="O3258" s="22"/>
      <c r="P3258" s="22"/>
    </row>
    <row r="3259" spans="11:16" s="1" customFormat="1" x14ac:dyDescent="0.25">
      <c r="K3259" s="28"/>
      <c r="L3259" s="28"/>
      <c r="N3259" s="22"/>
      <c r="O3259" s="22"/>
      <c r="P3259" s="22"/>
    </row>
    <row r="3260" spans="11:16" s="1" customFormat="1" x14ac:dyDescent="0.25">
      <c r="K3260" s="28"/>
      <c r="L3260" s="28"/>
      <c r="N3260" s="22"/>
      <c r="O3260" s="22"/>
      <c r="P3260" s="22"/>
    </row>
    <row r="3261" spans="11:16" s="1" customFormat="1" x14ac:dyDescent="0.25">
      <c r="K3261" s="28"/>
      <c r="L3261" s="28"/>
      <c r="N3261" s="22"/>
      <c r="O3261" s="22"/>
      <c r="P3261" s="22"/>
    </row>
    <row r="3262" spans="11:16" s="1" customFormat="1" x14ac:dyDescent="0.25">
      <c r="K3262" s="28"/>
      <c r="L3262" s="28"/>
      <c r="N3262" s="22"/>
      <c r="O3262" s="22"/>
      <c r="P3262" s="22"/>
    </row>
    <row r="3263" spans="11:16" s="1" customFormat="1" x14ac:dyDescent="0.25">
      <c r="K3263" s="28"/>
      <c r="L3263" s="28"/>
      <c r="N3263" s="22"/>
      <c r="O3263" s="22"/>
      <c r="P3263" s="22"/>
    </row>
    <row r="1048427" spans="15:16" x14ac:dyDescent="0.25">
      <c r="O1048427" s="22"/>
      <c r="P1048427" s="22"/>
    </row>
    <row r="1048428" spans="15:16" x14ac:dyDescent="0.25">
      <c r="O1048428" s="22"/>
      <c r="P1048428" s="22"/>
    </row>
    <row r="1048429" spans="15:16" x14ac:dyDescent="0.25">
      <c r="O1048429" s="22"/>
      <c r="P1048429" s="22"/>
    </row>
    <row r="1048430" spans="15:16" x14ac:dyDescent="0.25">
      <c r="O1048430" s="22"/>
      <c r="P1048430" s="22"/>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A831E-ABFB-421D-AA18-7F378E6AE64C}">
  <sheetPr codeName="Sheet3"/>
  <dimension ref="A1:BC80"/>
  <sheetViews>
    <sheetView topLeftCell="AR1" zoomScale="205" zoomScaleNormal="205" workbookViewId="0">
      <selection activeCell="X21" sqref="X21"/>
    </sheetView>
  </sheetViews>
  <sheetFormatPr defaultRowHeight="15" x14ac:dyDescent="0.25"/>
  <cols>
    <col min="1" max="1" width="13.140625" bestFit="1" customWidth="1"/>
    <col min="2" max="3" width="12.140625" bestFit="1" customWidth="1"/>
    <col min="4" max="4" width="13.42578125" bestFit="1" customWidth="1"/>
    <col min="5" max="5" width="9.140625" style="36"/>
    <col min="7" max="7" width="17.7109375" bestFit="1" customWidth="1"/>
    <col min="8" max="8" width="12.140625" bestFit="1" customWidth="1"/>
    <col min="10" max="10" width="9.140625" style="37"/>
    <col min="12" max="12" width="15.7109375" bestFit="1" customWidth="1"/>
    <col min="15" max="15" width="9.140625" style="37"/>
    <col min="17" max="17" width="13.140625" bestFit="1" customWidth="1"/>
    <col min="18" max="18" width="13.7109375" bestFit="1" customWidth="1"/>
    <col min="20" max="20" width="9.140625" style="37"/>
    <col min="22" max="22" width="13.140625" bestFit="1" customWidth="1"/>
    <col min="23" max="23" width="12.140625" bestFit="1" customWidth="1"/>
    <col min="25" max="25" width="9.140625" style="37"/>
    <col min="27" max="27" width="14.5703125" bestFit="1" customWidth="1"/>
    <col min="28" max="28" width="13.7109375" bestFit="1" customWidth="1"/>
    <col min="30" max="30" width="9.140625" style="37"/>
    <col min="32" max="32" width="13.140625" bestFit="1" customWidth="1"/>
    <col min="33" max="33" width="18.5703125" bestFit="1" customWidth="1"/>
    <col min="35" max="35" width="9.140625" style="36"/>
    <col min="37" max="37" width="13.140625" bestFit="1" customWidth="1"/>
    <col min="38" max="38" width="18.5703125" bestFit="1" customWidth="1"/>
    <col min="42" max="42" width="13.5703125" bestFit="1" customWidth="1"/>
    <col min="43" max="43" width="18.5703125" bestFit="1" customWidth="1"/>
    <col min="47" max="47" width="13.140625" bestFit="1" customWidth="1"/>
    <col min="48" max="48" width="17.7109375" bestFit="1" customWidth="1"/>
    <col min="52" max="52" width="13.140625" bestFit="1" customWidth="1"/>
  </cols>
  <sheetData>
    <row r="1" spans="1:55" ht="18.75" customHeight="1" x14ac:dyDescent="0.25">
      <c r="A1" s="55" t="s">
        <v>255</v>
      </c>
      <c r="B1" s="55"/>
      <c r="C1" s="55"/>
      <c r="D1" s="55"/>
      <c r="E1" s="35"/>
      <c r="F1" s="55" t="s">
        <v>256</v>
      </c>
      <c r="G1" s="55"/>
      <c r="H1" s="55"/>
      <c r="I1" s="55"/>
      <c r="J1" s="34"/>
      <c r="K1" s="55" t="s">
        <v>257</v>
      </c>
      <c r="L1" s="55"/>
      <c r="M1" s="55"/>
      <c r="N1" s="55"/>
      <c r="O1" s="34"/>
      <c r="P1" s="55" t="s">
        <v>258</v>
      </c>
      <c r="Q1" s="55"/>
      <c r="R1" s="55"/>
      <c r="S1" s="55"/>
      <c r="T1" s="34"/>
      <c r="U1" s="55" t="s">
        <v>259</v>
      </c>
      <c r="V1" s="55"/>
      <c r="W1" s="55"/>
      <c r="X1" s="55"/>
      <c r="Y1" s="34"/>
      <c r="Z1" s="55" t="s">
        <v>260</v>
      </c>
      <c r="AA1" s="55"/>
      <c r="AB1" s="55"/>
      <c r="AC1" s="55"/>
      <c r="AD1" s="34"/>
      <c r="AE1" s="55" t="s">
        <v>261</v>
      </c>
      <c r="AF1" s="55"/>
      <c r="AG1" s="55"/>
      <c r="AH1" s="55"/>
      <c r="AI1" s="34"/>
      <c r="AJ1" s="55" t="s">
        <v>262</v>
      </c>
      <c r="AK1" s="55"/>
      <c r="AL1" s="55"/>
      <c r="AM1" s="55"/>
      <c r="AN1" s="34"/>
      <c r="AO1" s="55" t="s">
        <v>263</v>
      </c>
      <c r="AP1" s="55"/>
      <c r="AQ1" s="55"/>
      <c r="AR1" s="55"/>
      <c r="AS1" s="34"/>
      <c r="AT1" s="55" t="s">
        <v>264</v>
      </c>
      <c r="AU1" s="55"/>
      <c r="AV1" s="55"/>
      <c r="AW1" s="55"/>
      <c r="AX1" s="34"/>
      <c r="AY1" s="55" t="s">
        <v>264</v>
      </c>
      <c r="AZ1" s="55"/>
      <c r="BA1" s="55"/>
      <c r="BB1" s="55"/>
      <c r="BC1" s="34"/>
    </row>
    <row r="2" spans="1:55" ht="18.75" customHeight="1" x14ac:dyDescent="0.25">
      <c r="A2" s="55"/>
      <c r="B2" s="55"/>
      <c r="C2" s="55"/>
      <c r="D2" s="55"/>
      <c r="E2" s="35"/>
      <c r="F2" s="55"/>
      <c r="G2" s="55"/>
      <c r="H2" s="55"/>
      <c r="I2" s="55"/>
      <c r="J2" s="34"/>
      <c r="K2" s="55"/>
      <c r="L2" s="55"/>
      <c r="M2" s="55"/>
      <c r="N2" s="55"/>
      <c r="O2" s="34"/>
      <c r="P2" s="55"/>
      <c r="Q2" s="55"/>
      <c r="R2" s="55"/>
      <c r="S2" s="55"/>
      <c r="T2" s="34"/>
      <c r="U2" s="55"/>
      <c r="V2" s="55"/>
      <c r="W2" s="55"/>
      <c r="X2" s="55"/>
      <c r="Y2" s="34"/>
      <c r="Z2" s="55"/>
      <c r="AA2" s="55"/>
      <c r="AB2" s="55"/>
      <c r="AC2" s="55"/>
      <c r="AD2" s="34"/>
      <c r="AE2" s="55"/>
      <c r="AF2" s="55"/>
      <c r="AG2" s="55"/>
      <c r="AH2" s="55"/>
      <c r="AI2" s="34"/>
      <c r="AJ2" s="55"/>
      <c r="AK2" s="55"/>
      <c r="AL2" s="55"/>
      <c r="AM2" s="55"/>
      <c r="AN2" s="34"/>
      <c r="AO2" s="55"/>
      <c r="AP2" s="55"/>
      <c r="AQ2" s="55"/>
      <c r="AR2" s="55"/>
      <c r="AS2" s="34"/>
      <c r="AT2" s="55"/>
      <c r="AU2" s="55"/>
      <c r="AV2" s="55"/>
      <c r="AW2" s="55"/>
      <c r="AX2" s="34"/>
      <c r="AY2" s="55"/>
      <c r="AZ2" s="55"/>
      <c r="BA2" s="55"/>
      <c r="BB2" s="55"/>
      <c r="BC2" s="34"/>
    </row>
    <row r="3" spans="1:55" ht="15" customHeight="1" x14ac:dyDescent="0.25">
      <c r="E3" s="35"/>
      <c r="J3" s="34"/>
      <c r="O3" s="34"/>
      <c r="T3" s="34"/>
      <c r="Y3" s="34"/>
      <c r="AD3" s="34"/>
      <c r="AF3" s="56" t="s">
        <v>268</v>
      </c>
      <c r="AG3" s="56"/>
      <c r="AI3" s="34"/>
      <c r="AK3" s="56" t="s">
        <v>269</v>
      </c>
      <c r="AL3" s="56"/>
      <c r="AN3" s="34"/>
      <c r="AS3" s="34"/>
      <c r="AX3" s="34"/>
      <c r="BC3" s="34"/>
    </row>
    <row r="4" spans="1:55" ht="15" customHeight="1" x14ac:dyDescent="0.25">
      <c r="E4" s="35"/>
      <c r="J4" s="34"/>
      <c r="O4" s="34"/>
      <c r="T4" s="34"/>
      <c r="Y4" s="34"/>
      <c r="AA4" s="43" t="s">
        <v>235</v>
      </c>
      <c r="AB4" s="44" t="s">
        <v>248</v>
      </c>
      <c r="AD4" s="34"/>
      <c r="AI4" s="34"/>
      <c r="AN4" s="34"/>
      <c r="AP4" s="24" t="s">
        <v>235</v>
      </c>
      <c r="AQ4" t="s">
        <v>254</v>
      </c>
      <c r="AS4" s="34"/>
      <c r="AX4" s="34"/>
      <c r="BC4" s="34"/>
    </row>
    <row r="5" spans="1:55" ht="15" customHeight="1" x14ac:dyDescent="0.25">
      <c r="B5" t="s">
        <v>248</v>
      </c>
      <c r="E5" s="35"/>
      <c r="G5" t="s">
        <v>247</v>
      </c>
      <c r="J5" s="34"/>
      <c r="L5" t="s">
        <v>252</v>
      </c>
      <c r="O5" s="34"/>
      <c r="Q5" s="24" t="s">
        <v>235</v>
      </c>
      <c r="R5" t="s">
        <v>253</v>
      </c>
      <c r="T5" s="34"/>
      <c r="V5" s="24" t="s">
        <v>235</v>
      </c>
      <c r="W5" t="s">
        <v>248</v>
      </c>
      <c r="Y5" s="34"/>
      <c r="AA5" s="53" t="s">
        <v>144</v>
      </c>
      <c r="AB5" s="54">
        <v>0.45217953481535844</v>
      </c>
      <c r="AD5" s="34"/>
      <c r="AF5" s="24" t="s">
        <v>235</v>
      </c>
      <c r="AG5" t="s">
        <v>254</v>
      </c>
      <c r="AI5" s="34"/>
      <c r="AK5" s="24" t="s">
        <v>235</v>
      </c>
      <c r="AL5" t="s">
        <v>254</v>
      </c>
      <c r="AN5" s="34"/>
      <c r="AP5" s="49" t="s">
        <v>53</v>
      </c>
      <c r="AQ5" s="50">
        <v>17</v>
      </c>
      <c r="AS5" s="34"/>
      <c r="AU5" s="24" t="s">
        <v>235</v>
      </c>
      <c r="AV5" t="s">
        <v>247</v>
      </c>
      <c r="AX5" s="34"/>
      <c r="AZ5" s="24" t="s">
        <v>235</v>
      </c>
      <c r="BC5" s="34"/>
    </row>
    <row r="6" spans="1:55" ht="15" customHeight="1" x14ac:dyDescent="0.25">
      <c r="B6" s="30">
        <v>1123877.5</v>
      </c>
      <c r="D6" s="42">
        <f>GETPIVOTDATA("السعر",$B$5)</f>
        <v>1123877.5</v>
      </c>
      <c r="E6" s="35"/>
      <c r="G6">
        <v>105</v>
      </c>
      <c r="I6" s="31">
        <f>GETPIVOTDATA("أسم العميل",$G$5)</f>
        <v>105</v>
      </c>
      <c r="J6" s="34"/>
      <c r="L6" s="30">
        <v>10703.595238095239</v>
      </c>
      <c r="N6" s="32">
        <f>GETPIVOTDATA("السعر",$L$5)</f>
        <v>10703.595238095239</v>
      </c>
      <c r="O6" s="34"/>
      <c r="Q6" s="49" t="s">
        <v>6</v>
      </c>
      <c r="R6" s="50">
        <v>65</v>
      </c>
      <c r="T6" s="34"/>
      <c r="V6" s="49" t="s">
        <v>130</v>
      </c>
      <c r="W6" s="51">
        <v>732827.5</v>
      </c>
      <c r="Y6" s="34"/>
      <c r="AA6" s="45" t="s">
        <v>143</v>
      </c>
      <c r="AB6" s="46">
        <v>0.31513820945180282</v>
      </c>
      <c r="AD6" s="34"/>
      <c r="AF6" s="49" t="s">
        <v>251</v>
      </c>
      <c r="AG6" s="50">
        <v>56</v>
      </c>
      <c r="AI6" s="34"/>
      <c r="AK6" s="49" t="s">
        <v>166</v>
      </c>
      <c r="AL6" s="52">
        <v>0.86538461538461542</v>
      </c>
      <c r="AN6" s="34"/>
      <c r="AP6" s="25" t="s">
        <v>240</v>
      </c>
      <c r="AQ6">
        <v>13</v>
      </c>
      <c r="AS6" s="34"/>
      <c r="AU6" s="49" t="s">
        <v>238</v>
      </c>
      <c r="AV6" s="50">
        <v>62</v>
      </c>
      <c r="AX6" s="34"/>
      <c r="AZ6" s="25" t="s">
        <v>276</v>
      </c>
      <c r="BC6" s="34"/>
    </row>
    <row r="7" spans="1:55" ht="15" customHeight="1" x14ac:dyDescent="0.25">
      <c r="E7" s="35"/>
      <c r="J7" s="34"/>
      <c r="O7" s="34"/>
      <c r="Q7" s="25" t="s">
        <v>25</v>
      </c>
      <c r="R7">
        <v>15</v>
      </c>
      <c r="T7" s="34"/>
      <c r="V7" s="25" t="s">
        <v>170</v>
      </c>
      <c r="W7" s="44">
        <v>235234</v>
      </c>
      <c r="Y7" s="34"/>
      <c r="AA7" s="45" t="s">
        <v>148</v>
      </c>
      <c r="AB7" s="46">
        <v>9.7685794030478182E-2</v>
      </c>
      <c r="AD7" s="34"/>
      <c r="AF7" s="25" t="s">
        <v>250</v>
      </c>
      <c r="AG7">
        <v>49</v>
      </c>
      <c r="AI7" s="34"/>
      <c r="AK7" s="25" t="s">
        <v>163</v>
      </c>
      <c r="AL7" s="33">
        <v>2.8846153846153848E-2</v>
      </c>
      <c r="AN7" s="34"/>
      <c r="AP7" s="25" t="s">
        <v>179</v>
      </c>
      <c r="AQ7">
        <v>11</v>
      </c>
      <c r="AS7" s="34"/>
      <c r="AU7" s="25" t="s">
        <v>239</v>
      </c>
      <c r="AV7">
        <v>43</v>
      </c>
      <c r="AX7" s="34"/>
      <c r="AZ7" s="48" t="s">
        <v>270</v>
      </c>
      <c r="BC7" s="34"/>
    </row>
    <row r="8" spans="1:55" ht="15" customHeight="1" x14ac:dyDescent="0.25">
      <c r="E8" s="35"/>
      <c r="J8" s="34"/>
      <c r="O8" s="34"/>
      <c r="Q8" s="25" t="s">
        <v>42</v>
      </c>
      <c r="R8">
        <v>10</v>
      </c>
      <c r="T8" s="34"/>
      <c r="V8" s="25" t="s">
        <v>137</v>
      </c>
      <c r="W8" s="44">
        <v>114150</v>
      </c>
      <c r="Y8" s="34"/>
      <c r="AA8" s="45" t="s">
        <v>146</v>
      </c>
      <c r="AB8" s="46">
        <v>3.0599465221129468E-2</v>
      </c>
      <c r="AD8" s="34"/>
      <c r="AF8" s="25" t="s">
        <v>236</v>
      </c>
      <c r="AG8">
        <v>105</v>
      </c>
      <c r="AI8" s="34"/>
      <c r="AK8" s="25" t="s">
        <v>164</v>
      </c>
      <c r="AL8" s="33">
        <v>9.6153846153846159E-2</v>
      </c>
      <c r="AN8" s="34"/>
      <c r="AP8" s="25" t="s">
        <v>32</v>
      </c>
      <c r="AQ8">
        <v>6</v>
      </c>
      <c r="AS8" s="34"/>
      <c r="AU8" s="25" t="s">
        <v>236</v>
      </c>
      <c r="AV8">
        <v>105</v>
      </c>
      <c r="AX8" s="34"/>
      <c r="AZ8" s="48" t="s">
        <v>271</v>
      </c>
      <c r="BC8" s="34"/>
    </row>
    <row r="9" spans="1:55" ht="15.75" customHeight="1" x14ac:dyDescent="0.25">
      <c r="E9" s="35"/>
      <c r="G9" s="8"/>
      <c r="H9" s="8"/>
      <c r="J9" s="34"/>
      <c r="O9" s="34"/>
      <c r="Q9" s="25" t="s">
        <v>33</v>
      </c>
      <c r="R9">
        <v>5</v>
      </c>
      <c r="T9" s="34"/>
      <c r="V9" s="25" t="s">
        <v>138</v>
      </c>
      <c r="W9" s="44">
        <v>22000</v>
      </c>
      <c r="Y9" s="34"/>
      <c r="AA9" s="45" t="s">
        <v>184</v>
      </c>
      <c r="AB9" s="46">
        <v>2.6515904866302713E-2</v>
      </c>
      <c r="AD9" s="34"/>
      <c r="AI9" s="34"/>
      <c r="AK9" s="25" t="s">
        <v>202</v>
      </c>
      <c r="AL9" s="33">
        <v>9.6153846153846159E-3</v>
      </c>
      <c r="AN9" s="34"/>
      <c r="AP9" s="25" t="s">
        <v>168</v>
      </c>
      <c r="AQ9">
        <v>5</v>
      </c>
      <c r="AS9" s="34"/>
      <c r="AX9" s="34"/>
      <c r="AZ9" s="48" t="s">
        <v>272</v>
      </c>
      <c r="BC9" s="34"/>
    </row>
    <row r="10" spans="1:55" ht="15" customHeight="1" x14ac:dyDescent="0.25">
      <c r="E10" s="35"/>
      <c r="J10" s="34"/>
      <c r="O10" s="34"/>
      <c r="Q10" s="25" t="s">
        <v>174</v>
      </c>
      <c r="R10">
        <v>4</v>
      </c>
      <c r="T10" s="34"/>
      <c r="V10" s="25" t="s">
        <v>177</v>
      </c>
      <c r="W10" s="44">
        <v>10366</v>
      </c>
      <c r="Y10" s="34"/>
      <c r="AA10" s="45" t="s">
        <v>149</v>
      </c>
      <c r="AB10" s="46">
        <v>2.5946488194625385E-2</v>
      </c>
      <c r="AD10" s="34"/>
      <c r="AI10" s="34"/>
      <c r="AK10" s="25" t="s">
        <v>236</v>
      </c>
      <c r="AL10" s="33">
        <v>1</v>
      </c>
      <c r="AN10" s="34"/>
      <c r="AP10" s="25" t="s">
        <v>91</v>
      </c>
      <c r="AQ10">
        <v>5</v>
      </c>
      <c r="AS10" s="34"/>
      <c r="AX10" s="34"/>
      <c r="AZ10" s="48" t="s">
        <v>273</v>
      </c>
      <c r="BC10" s="34"/>
    </row>
    <row r="11" spans="1:55" ht="15" customHeight="1" x14ac:dyDescent="0.25">
      <c r="E11" s="35"/>
      <c r="J11" s="34"/>
      <c r="O11" s="34"/>
      <c r="Q11" s="25" t="s">
        <v>206</v>
      </c>
      <c r="R11">
        <v>3</v>
      </c>
      <c r="T11" s="34"/>
      <c r="V11" s="25" t="s">
        <v>140</v>
      </c>
      <c r="W11" s="44">
        <v>9300</v>
      </c>
      <c r="Y11" s="34"/>
      <c r="AA11" s="45" t="s">
        <v>191</v>
      </c>
      <c r="AB11" s="46">
        <v>2.1914833150123006E-2</v>
      </c>
      <c r="AD11" s="34"/>
      <c r="AI11" s="34"/>
      <c r="AN11" s="34"/>
      <c r="AP11" s="25" t="s">
        <v>173</v>
      </c>
      <c r="AQ11">
        <v>4</v>
      </c>
      <c r="AS11" s="34"/>
      <c r="AX11" s="34"/>
      <c r="AZ11" s="48" t="s">
        <v>274</v>
      </c>
      <c r="BC11" s="34"/>
    </row>
    <row r="12" spans="1:55" ht="15.75" customHeight="1" x14ac:dyDescent="0.25">
      <c r="A12" s="11"/>
      <c r="B12" s="8"/>
      <c r="E12" s="35"/>
      <c r="J12" s="34"/>
      <c r="O12" s="34"/>
      <c r="Q12" s="25" t="s">
        <v>190</v>
      </c>
      <c r="R12">
        <v>2</v>
      </c>
      <c r="T12" s="34"/>
      <c r="V12" s="25" t="s">
        <v>236</v>
      </c>
      <c r="W12" s="30">
        <v>1123877.5</v>
      </c>
      <c r="Y12" s="34"/>
      <c r="AA12" s="45" t="s">
        <v>152</v>
      </c>
      <c r="AB12" s="46">
        <v>1.5960112053800626E-2</v>
      </c>
      <c r="AD12" s="34"/>
      <c r="AI12" s="34"/>
      <c r="AN12" s="34"/>
      <c r="AP12" s="25" t="s">
        <v>48</v>
      </c>
      <c r="AQ12">
        <v>3</v>
      </c>
      <c r="AS12" s="34"/>
      <c r="AX12" s="34"/>
      <c r="AZ12" s="48" t="s">
        <v>275</v>
      </c>
      <c r="BC12" s="34"/>
    </row>
    <row r="13" spans="1:55" ht="15.75" customHeight="1" x14ac:dyDescent="0.25">
      <c r="B13" s="8"/>
      <c r="E13" s="35"/>
      <c r="J13" s="34"/>
      <c r="O13" s="34"/>
      <c r="Q13" s="25" t="s">
        <v>204</v>
      </c>
      <c r="R13">
        <v>1</v>
      </c>
      <c r="T13" s="34"/>
      <c r="Y13" s="34"/>
      <c r="AA13" s="45" t="s">
        <v>176</v>
      </c>
      <c r="AB13" s="46">
        <v>8.7817618101283194E-3</v>
      </c>
      <c r="AD13" s="34"/>
      <c r="AI13" s="34"/>
      <c r="AN13" s="34"/>
      <c r="AP13" s="25" t="s">
        <v>73</v>
      </c>
      <c r="AQ13">
        <v>3</v>
      </c>
      <c r="AS13" s="34"/>
      <c r="AX13" s="34"/>
      <c r="AZ13" s="25" t="s">
        <v>236</v>
      </c>
      <c r="BC13" s="34"/>
    </row>
    <row r="14" spans="1:55" ht="15.75" customHeight="1" x14ac:dyDescent="0.25">
      <c r="B14" s="8"/>
      <c r="E14" s="35"/>
      <c r="J14" s="34"/>
      <c r="O14" s="34"/>
      <c r="Q14" s="25" t="s">
        <v>236</v>
      </c>
      <c r="R14">
        <v>105</v>
      </c>
      <c r="T14" s="34"/>
      <c r="Y14" s="34"/>
      <c r="AA14" s="45" t="s">
        <v>178</v>
      </c>
      <c r="AB14" s="46">
        <v>5.2778964062510439E-3</v>
      </c>
      <c r="AD14" s="34"/>
      <c r="AI14" s="34"/>
      <c r="AN14" s="34"/>
      <c r="AP14" s="25" t="s">
        <v>20</v>
      </c>
      <c r="AQ14">
        <v>3</v>
      </c>
      <c r="AS14" s="34"/>
      <c r="AX14" s="34"/>
      <c r="BC14" s="34"/>
    </row>
    <row r="15" spans="1:55" ht="15" customHeight="1" x14ac:dyDescent="0.25">
      <c r="E15" s="35"/>
      <c r="J15" s="34"/>
      <c r="O15" s="34"/>
      <c r="T15" s="34"/>
      <c r="Y15" s="34"/>
      <c r="AA15" s="45" t="s">
        <v>236</v>
      </c>
      <c r="AB15" s="33">
        <v>1</v>
      </c>
      <c r="AD15" s="34"/>
      <c r="AI15" s="34"/>
      <c r="AN15" s="34"/>
      <c r="AP15" s="25" t="s">
        <v>236</v>
      </c>
      <c r="AQ15">
        <v>70</v>
      </c>
      <c r="AS15" s="34"/>
      <c r="AX15" s="34"/>
      <c r="BC15" s="34"/>
    </row>
    <row r="16" spans="1:55" ht="15.75" customHeight="1" x14ac:dyDescent="0.25">
      <c r="B16" s="8"/>
      <c r="C16" s="8"/>
      <c r="E16" s="35"/>
      <c r="J16" s="34"/>
      <c r="O16" s="34"/>
      <c r="T16" s="34"/>
      <c r="Y16" s="34"/>
      <c r="AD16" s="34"/>
      <c r="AI16" s="34"/>
      <c r="AN16" s="34"/>
      <c r="AS16" s="34"/>
      <c r="AX16" s="34"/>
      <c r="BC16" s="34"/>
    </row>
    <row r="17" spans="1:55" ht="15" customHeight="1" x14ac:dyDescent="0.25">
      <c r="A17" s="57"/>
      <c r="B17" s="57"/>
      <c r="C17" s="57"/>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34"/>
      <c r="AN17" s="34"/>
      <c r="AO17" s="34"/>
      <c r="AR17" s="34"/>
      <c r="AS17" s="34"/>
      <c r="AT17" s="34"/>
      <c r="AU17" s="34"/>
      <c r="AV17" s="34"/>
      <c r="AW17" s="34"/>
      <c r="AX17" s="34"/>
      <c r="AY17" s="34"/>
      <c r="AZ17" s="34"/>
      <c r="BA17" s="34"/>
      <c r="BB17" s="34"/>
      <c r="BC17" s="34"/>
    </row>
    <row r="18" spans="1:55" ht="15" customHeight="1" x14ac:dyDescent="0.25">
      <c r="A18" s="57"/>
      <c r="B18" s="57"/>
      <c r="C18" s="57"/>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34"/>
      <c r="AN18" s="34"/>
      <c r="AO18" s="34"/>
      <c r="AR18" s="34"/>
      <c r="AS18" s="34"/>
      <c r="AT18" s="34"/>
      <c r="AU18" s="34"/>
      <c r="AV18" s="34"/>
      <c r="AW18" s="34"/>
      <c r="AX18" s="34"/>
      <c r="AY18" s="34"/>
      <c r="AZ18" s="34"/>
      <c r="BA18" s="34"/>
      <c r="BB18" s="34"/>
      <c r="BC18" s="34"/>
    </row>
    <row r="19" spans="1:55" ht="15" customHeight="1" x14ac:dyDescent="0.25">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34"/>
      <c r="AN19" s="34"/>
      <c r="AO19" s="34"/>
      <c r="AR19" s="34"/>
      <c r="AS19" s="34"/>
      <c r="AT19" s="34"/>
      <c r="AU19" s="34"/>
      <c r="AV19" s="34"/>
      <c r="AW19" s="34"/>
      <c r="AX19" s="34"/>
      <c r="AY19" s="34"/>
      <c r="AZ19" s="34"/>
      <c r="BA19" s="34"/>
      <c r="BB19" s="34"/>
      <c r="BC19" s="34"/>
    </row>
    <row r="20" spans="1:55" ht="15" customHeight="1" x14ac:dyDescent="0.25">
      <c r="AD20"/>
    </row>
    <row r="21" spans="1:55" ht="15" customHeight="1" x14ac:dyDescent="0.25">
      <c r="AD21"/>
    </row>
    <row r="22" spans="1:55" ht="15" customHeight="1" x14ac:dyDescent="0.25">
      <c r="AD22"/>
    </row>
    <row r="23" spans="1:55" ht="15" customHeight="1" x14ac:dyDescent="0.25">
      <c r="AD23"/>
    </row>
    <row r="24" spans="1:55" ht="15" customHeight="1" x14ac:dyDescent="0.25"/>
    <row r="25" spans="1:55" ht="15" customHeight="1" x14ac:dyDescent="0.25"/>
    <row r="26" spans="1:55" ht="15" customHeight="1" x14ac:dyDescent="0.25"/>
    <row r="27" spans="1:55" ht="15" customHeight="1" x14ac:dyDescent="0.25"/>
    <row r="28" spans="1:55" ht="15" customHeight="1" x14ac:dyDescent="0.25"/>
    <row r="29" spans="1:55" ht="15" customHeight="1" x14ac:dyDescent="0.25"/>
    <row r="30" spans="1:55" ht="15" customHeight="1" x14ac:dyDescent="0.25"/>
    <row r="31" spans="1:55" ht="15" customHeight="1" x14ac:dyDescent="0.25"/>
    <row r="32" spans="1:55"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sheetData>
  <mergeCells count="15">
    <mergeCell ref="AY1:BB2"/>
    <mergeCell ref="AK3:AL3"/>
    <mergeCell ref="A17:S19"/>
    <mergeCell ref="T17:AL19"/>
    <mergeCell ref="AF3:AG3"/>
    <mergeCell ref="A1:D2"/>
    <mergeCell ref="F1:I2"/>
    <mergeCell ref="K1:N2"/>
    <mergeCell ref="AO1:AR2"/>
    <mergeCell ref="AT1:AW2"/>
    <mergeCell ref="P1:S2"/>
    <mergeCell ref="U1:X2"/>
    <mergeCell ref="Z1:AC2"/>
    <mergeCell ref="AE1:AH2"/>
    <mergeCell ref="AJ1:AM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1B701-058E-43FA-B1B6-C9001389484F}">
  <sheetPr codeName="Sheet4"/>
  <dimension ref="A10"/>
  <sheetViews>
    <sheetView tabSelected="1" zoomScale="90" zoomScaleNormal="90" workbookViewId="0">
      <selection activeCell="W3" sqref="W3"/>
    </sheetView>
  </sheetViews>
  <sheetFormatPr defaultRowHeight="15" x14ac:dyDescent="0.25"/>
  <cols>
    <col min="1" max="33" width="9.140625" style="47" customWidth="1"/>
    <col min="34" max="37" width="0" style="47" hidden="1" customWidth="1"/>
    <col min="38" max="16384" width="9.140625" style="47"/>
  </cols>
  <sheetData>
    <row r="10" ht="15.75" customHeight="1" x14ac:dyDescent="0.25"/>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 r:id="rId4" name="Button 1">
              <controlPr defaultSize="0" print="0" autoFill="0" autoPict="0" macro="[0]!Refresh">
                <anchor moveWithCells="1" sizeWithCells="1">
                  <from>
                    <xdr:col>0</xdr:col>
                    <xdr:colOff>200025</xdr:colOff>
                    <xdr:row>38</xdr:row>
                    <xdr:rowOff>95250</xdr:rowOff>
                  </from>
                  <to>
                    <xdr:col>2</xdr:col>
                    <xdr:colOff>161925</xdr:colOff>
                    <xdr:row>40</xdr:row>
                    <xdr:rowOff>28575</xdr:rowOff>
                  </to>
                </anchor>
              </controlPr>
            </control>
          </mc:Choice>
        </mc:AlternateContent>
        <mc:AlternateContent xmlns:mc="http://schemas.openxmlformats.org/markup-compatibility/2006">
          <mc:Choice Requires="x14">
            <control shapeId="1026" r:id="rId5" name="Button 2">
              <controlPr defaultSize="0" print="0" autoFill="0" autoPict="0" macro="[0]!Clear">
                <anchor moveWithCells="1" sizeWithCells="1">
                  <from>
                    <xdr:col>2</xdr:col>
                    <xdr:colOff>209550</xdr:colOff>
                    <xdr:row>38</xdr:row>
                    <xdr:rowOff>85725</xdr:rowOff>
                  </from>
                  <to>
                    <xdr:col>4</xdr:col>
                    <xdr:colOff>57150</xdr:colOff>
                    <xdr:row>40</xdr:row>
                    <xdr:rowOff>28575</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30AE95-F91E-478B-9E95-D8BA5BE724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الارشادات</vt:lpstr>
      <vt:lpstr>البيانات</vt:lpstr>
      <vt:lpstr>pivot table</vt:lpstr>
      <vt:lpstr>Dashboard</vt:lpstr>
      <vt:lpstr>mo</vt:lpstr>
      <vt:lpstr>moo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على خيرى محمد عبدالهادى</cp:lastModifiedBy>
  <dcterms:created xsi:type="dcterms:W3CDTF">2015-06-05T18:17:20Z</dcterms:created>
  <dcterms:modified xsi:type="dcterms:W3CDTF">2026-03-22T13:08:30Z</dcterms:modified>
</cp:coreProperties>
</file>